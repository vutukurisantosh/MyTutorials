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01" codeName="{2AF44A5B-4F9A-30C1-5B58-47010ADB2D0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ntosh\Downloads\"/>
    </mc:Choice>
  </mc:AlternateContent>
  <xr:revisionPtr revIDLastSave="0" documentId="13_ncr:1_{B313F6EB-40E4-49ED-8903-7CBEE9E86887}" xr6:coauthVersionLast="38" xr6:coauthVersionMax="38" xr10:uidLastSave="{00000000-0000-0000-0000-000000000000}"/>
  <bookViews>
    <workbookView xWindow="0" yWindow="0" windowWidth="20490" windowHeight="7485" activeTab="1" xr2:uid="{00000000-000D-0000-FFFF-FFFF00000000}"/>
  </bookViews>
  <sheets>
    <sheet name="Sheet1" sheetId="1" r:id="rId1"/>
    <sheet name="Sheet2" sheetId="2" r:id="rId2"/>
  </sheet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37" i="2" l="1"/>
  <c r="D41" i="2"/>
  <c r="E45" i="2"/>
  <c r="D73" i="2"/>
  <c r="D77" i="2"/>
  <c r="E89" i="2"/>
  <c r="D102" i="2"/>
  <c r="E113" i="2"/>
  <c r="E117" i="2"/>
  <c r="D139" i="2"/>
  <c r="E48" i="2"/>
  <c r="E164" i="2"/>
  <c r="D180" i="2"/>
  <c r="E196" i="2"/>
  <c r="D200" i="2"/>
  <c r="D238" i="2"/>
  <c r="E253" i="2"/>
  <c r="D273" i="2"/>
  <c r="E277" i="2"/>
  <c r="D321" i="2"/>
  <c r="E353" i="2"/>
  <c r="D377" i="2"/>
  <c r="D421" i="2"/>
  <c r="E429" i="2"/>
  <c r="E445" i="2"/>
  <c r="E449" i="2"/>
  <c r="D469" i="2"/>
  <c r="E500" i="2" l="1"/>
  <c r="D440" i="2"/>
  <c r="E420" i="2"/>
  <c r="E448" i="2"/>
  <c r="D338" i="2"/>
  <c r="E472" i="2"/>
  <c r="D436" i="2"/>
  <c r="D424" i="2"/>
  <c r="E380" i="2"/>
  <c r="D447" i="2"/>
  <c r="E171" i="2"/>
  <c r="D378" i="2"/>
  <c r="D366" i="2"/>
  <c r="D350" i="2"/>
  <c r="D318" i="2"/>
  <c r="D266" i="2"/>
  <c r="D246" i="2"/>
  <c r="D242" i="2"/>
  <c r="E435" i="2"/>
  <c r="D374" i="2"/>
  <c r="D233" i="2"/>
  <c r="E221" i="2"/>
  <c r="D205" i="2"/>
  <c r="E201" i="2"/>
  <c r="E96" i="2"/>
  <c r="D92" i="2"/>
  <c r="D76" i="2"/>
  <c r="E60" i="2"/>
  <c r="D52" i="2"/>
  <c r="D36" i="2"/>
  <c r="D32" i="2"/>
  <c r="E233" i="2"/>
  <c r="E501" i="2"/>
  <c r="E488" i="2"/>
  <c r="E484" i="2"/>
  <c r="E456" i="2"/>
  <c r="D452" i="2"/>
  <c r="D450" i="2"/>
  <c r="E412" i="2"/>
  <c r="D410" i="2"/>
  <c r="D406" i="2"/>
  <c r="D398" i="2"/>
  <c r="E397" i="2"/>
  <c r="D393" i="2"/>
  <c r="D389" i="2"/>
  <c r="D385" i="2"/>
  <c r="E365" i="2"/>
  <c r="D361" i="2"/>
  <c r="D357" i="2"/>
  <c r="D341" i="2"/>
  <c r="D317" i="2"/>
  <c r="E313" i="2"/>
  <c r="E305" i="2"/>
  <c r="E301" i="2"/>
  <c r="E217" i="2"/>
  <c r="E187" i="2"/>
  <c r="D185" i="2"/>
  <c r="D169" i="2"/>
  <c r="D164" i="2"/>
  <c r="F164" i="2" s="1"/>
  <c r="E160" i="2"/>
  <c r="D156" i="2"/>
  <c r="D117" i="2"/>
  <c r="F117" i="2" s="1"/>
  <c r="D485" i="2"/>
  <c r="D451" i="2"/>
  <c r="D417" i="2"/>
  <c r="D409" i="2"/>
  <c r="D397" i="2"/>
  <c r="E388" i="2"/>
  <c r="E356" i="2"/>
  <c r="E344" i="2"/>
  <c r="D308" i="2"/>
  <c r="D284" i="2"/>
  <c r="E220" i="2"/>
  <c r="D214" i="2"/>
  <c r="D210" i="2"/>
  <c r="D206" i="2"/>
  <c r="E186" i="2"/>
  <c r="E170" i="2"/>
  <c r="E159" i="2"/>
  <c r="E481" i="2"/>
  <c r="D477" i="2"/>
  <c r="D473" i="2"/>
  <c r="D465" i="2"/>
  <c r="D418" i="2"/>
  <c r="E417" i="2"/>
  <c r="D413" i="2"/>
  <c r="D384" i="2"/>
  <c r="D354" i="2"/>
  <c r="D353" i="2"/>
  <c r="F353" i="2" s="1"/>
  <c r="E340" i="2"/>
  <c r="D332" i="2"/>
  <c r="D324" i="2"/>
  <c r="E316" i="2"/>
  <c r="E296" i="2"/>
  <c r="E267" i="2"/>
  <c r="E265" i="2"/>
  <c r="E249" i="2"/>
  <c r="D237" i="2"/>
  <c r="D220" i="2"/>
  <c r="D218" i="2"/>
  <c r="E204" i="2"/>
  <c r="E190" i="2"/>
  <c r="E188" i="2"/>
  <c r="D187" i="2"/>
  <c r="F187" i="2" s="1"/>
  <c r="D175" i="2"/>
  <c r="D155" i="2"/>
  <c r="D145" i="2"/>
  <c r="D129" i="2"/>
  <c r="D127" i="2"/>
  <c r="D125" i="2"/>
  <c r="D121" i="2"/>
  <c r="E93" i="2"/>
  <c r="E64" i="2"/>
  <c r="E41" i="2"/>
  <c r="F41" i="2" s="1"/>
  <c r="D365" i="2"/>
  <c r="F365" i="2" s="1"/>
  <c r="E317" i="2"/>
  <c r="E205" i="2"/>
  <c r="E180" i="2"/>
  <c r="F180" i="2" s="1"/>
  <c r="E44" i="2"/>
  <c r="D501" i="2"/>
  <c r="D497" i="2"/>
  <c r="D481" i="2"/>
  <c r="D476" i="2"/>
  <c r="E468" i="2"/>
  <c r="D449" i="2"/>
  <c r="F449" i="2" s="1"/>
  <c r="D416" i="2"/>
  <c r="D386" i="2"/>
  <c r="E385" i="2"/>
  <c r="D381" i="2"/>
  <c r="E341" i="2"/>
  <c r="E337" i="2"/>
  <c r="D333" i="2"/>
  <c r="D329" i="2"/>
  <c r="D309" i="2"/>
  <c r="D293" i="2"/>
  <c r="D289" i="2"/>
  <c r="E284" i="2"/>
  <c r="D282" i="2"/>
  <c r="E280" i="2"/>
  <c r="E272" i="2"/>
  <c r="D252" i="2"/>
  <c r="D250" i="2"/>
  <c r="E236" i="2"/>
  <c r="D191" i="2"/>
  <c r="E174" i="2"/>
  <c r="E172" i="2"/>
  <c r="D171" i="2"/>
  <c r="F171" i="2" s="1"/>
  <c r="D161" i="2"/>
  <c r="E156" i="2"/>
  <c r="F156" i="2" s="1"/>
  <c r="E144" i="2"/>
  <c r="D142" i="2"/>
  <c r="E140" i="2"/>
  <c r="E138" i="2"/>
  <c r="D126" i="2"/>
  <c r="D118" i="2"/>
  <c r="E116" i="2"/>
  <c r="E88" i="2"/>
  <c r="E73" i="2"/>
  <c r="F73" i="2" s="1"/>
  <c r="D61" i="2"/>
  <c r="D57" i="2"/>
  <c r="D53" i="2"/>
  <c r="E497" i="2"/>
  <c r="D493" i="2"/>
  <c r="D489" i="2"/>
  <c r="E485" i="2"/>
  <c r="D460" i="2"/>
  <c r="D438" i="2"/>
  <c r="E436" i="2"/>
  <c r="F436" i="2" s="1"/>
  <c r="D432" i="2"/>
  <c r="E430" i="2"/>
  <c r="E424" i="2"/>
  <c r="E423" i="2"/>
  <c r="E421" i="2"/>
  <c r="F421" i="2" s="1"/>
  <c r="D405" i="2"/>
  <c r="D401" i="2"/>
  <c r="E389" i="2"/>
  <c r="D373" i="2"/>
  <c r="D369" i="2"/>
  <c r="E357" i="2"/>
  <c r="D348" i="2"/>
  <c r="D342" i="2"/>
  <c r="D334" i="2"/>
  <c r="E328" i="2"/>
  <c r="D326" i="2"/>
  <c r="E321" i="2"/>
  <c r="F321" i="2" s="1"/>
  <c r="D316" i="2"/>
  <c r="E312" i="2"/>
  <c r="D310" i="2"/>
  <c r="D300" i="2"/>
  <c r="E288" i="2"/>
  <c r="D277" i="2"/>
  <c r="F277" i="2" s="1"/>
  <c r="E264" i="2"/>
  <c r="D262" i="2"/>
  <c r="D258" i="2"/>
  <c r="D254" i="2"/>
  <c r="D253" i="2"/>
  <c r="F253" i="2" s="1"/>
  <c r="D217" i="2"/>
  <c r="D204" i="2"/>
  <c r="E202" i="2"/>
  <c r="E191" i="2"/>
  <c r="F191" i="2" s="1"/>
  <c r="D189" i="2"/>
  <c r="E175" i="2"/>
  <c r="D173" i="2"/>
  <c r="E125" i="2"/>
  <c r="E124" i="2"/>
  <c r="D116" i="2"/>
  <c r="E108" i="2"/>
  <c r="D93" i="2"/>
  <c r="D89" i="2"/>
  <c r="F89" i="2" s="1"/>
  <c r="E80" i="2"/>
  <c r="E76" i="2"/>
  <c r="F76" i="2" s="1"/>
  <c r="E61" i="2"/>
  <c r="E57" i="2"/>
  <c r="D49" i="2"/>
  <c r="D44" i="2"/>
  <c r="D33" i="2"/>
  <c r="E469" i="2"/>
  <c r="F469" i="2" s="1"/>
  <c r="E409" i="2"/>
  <c r="F409" i="2" s="1"/>
  <c r="E377" i="2"/>
  <c r="F377" i="2" s="1"/>
  <c r="D337" i="2"/>
  <c r="D313" i="2"/>
  <c r="E308" i="2"/>
  <c r="D272" i="2"/>
  <c r="D265" i="2"/>
  <c r="E252" i="2"/>
  <c r="E237" i="2"/>
  <c r="F237" i="2" s="1"/>
  <c r="D201" i="2"/>
  <c r="D160" i="2"/>
  <c r="D138" i="2"/>
  <c r="E121" i="2"/>
  <c r="D113" i="2"/>
  <c r="F113" i="2" s="1"/>
  <c r="E92" i="2"/>
  <c r="F92" i="2" s="1"/>
  <c r="E77" i="2"/>
  <c r="F77" i="2" s="1"/>
  <c r="D65" i="2"/>
  <c r="D60" i="2"/>
  <c r="E56" i="2"/>
  <c r="D45" i="2"/>
  <c r="F45" i="2" s="1"/>
  <c r="E40" i="2"/>
  <c r="D492" i="2"/>
  <c r="E465" i="2"/>
  <c r="D461" i="2"/>
  <c r="D457" i="2"/>
  <c r="D445" i="2"/>
  <c r="F445" i="2" s="1"/>
  <c r="D441" i="2"/>
  <c r="E439" i="2"/>
  <c r="D433" i="2"/>
  <c r="D429" i="2"/>
  <c r="F429" i="2" s="1"/>
  <c r="D425" i="2"/>
  <c r="D422" i="2"/>
  <c r="D404" i="2"/>
  <c r="E402" i="2"/>
  <c r="D394" i="2"/>
  <c r="D390" i="2"/>
  <c r="D372" i="2"/>
  <c r="E370" i="2"/>
  <c r="D362" i="2"/>
  <c r="D358" i="2"/>
  <c r="D349" i="2"/>
  <c r="D345" i="2"/>
  <c r="D325" i="2"/>
  <c r="E309" i="2"/>
  <c r="D302" i="2"/>
  <c r="E297" i="2"/>
  <c r="E283" i="2"/>
  <c r="D249" i="2"/>
  <c r="D236" i="2"/>
  <c r="D234" i="2"/>
  <c r="D230" i="2"/>
  <c r="D226" i="2"/>
  <c r="D222" i="2"/>
  <c r="D221" i="2"/>
  <c r="F221" i="2" s="1"/>
  <c r="D188" i="2"/>
  <c r="D172" i="2"/>
  <c r="D159" i="2"/>
  <c r="D153" i="2"/>
  <c r="E151" i="2"/>
  <c r="D149" i="2"/>
  <c r="D143" i="2"/>
  <c r="E128" i="2"/>
  <c r="E126" i="2"/>
  <c r="E72" i="2"/>
  <c r="D229" i="2"/>
  <c r="E229" i="2"/>
  <c r="D97" i="2"/>
  <c r="E97" i="2"/>
  <c r="E457" i="2"/>
  <c r="F457" i="2" s="1"/>
  <c r="E434" i="2"/>
  <c r="D428" i="2"/>
  <c r="E426" i="2"/>
  <c r="E413" i="2"/>
  <c r="F413" i="2" s="1"/>
  <c r="D408" i="2"/>
  <c r="E401" i="2"/>
  <c r="D396" i="2"/>
  <c r="E394" i="2"/>
  <c r="E381" i="2"/>
  <c r="D376" i="2"/>
  <c r="E369" i="2"/>
  <c r="D364" i="2"/>
  <c r="E362" i="2"/>
  <c r="D352" i="2"/>
  <c r="E345" i="2"/>
  <c r="D336" i="2"/>
  <c r="E329" i="2"/>
  <c r="E320" i="2"/>
  <c r="D260" i="2"/>
  <c r="E260" i="2"/>
  <c r="D245" i="2"/>
  <c r="E245" i="2"/>
  <c r="D241" i="2"/>
  <c r="E241" i="2"/>
  <c r="E110" i="2"/>
  <c r="D110" i="2"/>
  <c r="D84" i="2"/>
  <c r="E84" i="2"/>
  <c r="D69" i="2"/>
  <c r="E69" i="2"/>
  <c r="D244" i="2"/>
  <c r="E244" i="2"/>
  <c r="D152" i="2"/>
  <c r="E152" i="2"/>
  <c r="D101" i="2"/>
  <c r="E101" i="2"/>
  <c r="D68" i="2"/>
  <c r="E68" i="2"/>
  <c r="D496" i="2"/>
  <c r="E473" i="2"/>
  <c r="D500" i="2"/>
  <c r="F500" i="2" s="1"/>
  <c r="D484" i="2"/>
  <c r="E477" i="2"/>
  <c r="E476" i="2"/>
  <c r="D468" i="2"/>
  <c r="E461" i="2"/>
  <c r="E460" i="2"/>
  <c r="E452" i="2"/>
  <c r="F452" i="2" s="1"/>
  <c r="E451" i="2"/>
  <c r="D448" i="2"/>
  <c r="E446" i="2"/>
  <c r="E440" i="2"/>
  <c r="F440" i="2" s="1"/>
  <c r="D435" i="2"/>
  <c r="F435" i="2" s="1"/>
  <c r="E433" i="2"/>
  <c r="E432" i="2"/>
  <c r="D431" i="2"/>
  <c r="D420" i="2"/>
  <c r="F420" i="2" s="1"/>
  <c r="E418" i="2"/>
  <c r="E405" i="2"/>
  <c r="E404" i="2"/>
  <c r="D400" i="2"/>
  <c r="E393" i="2"/>
  <c r="D388" i="2"/>
  <c r="E386" i="2"/>
  <c r="E373" i="2"/>
  <c r="E372" i="2"/>
  <c r="D368" i="2"/>
  <c r="E361" i="2"/>
  <c r="E349" i="2"/>
  <c r="F349" i="2" s="1"/>
  <c r="E348" i="2"/>
  <c r="D340" i="2"/>
  <c r="E333" i="2"/>
  <c r="E332" i="2"/>
  <c r="E324" i="2"/>
  <c r="D301" i="2"/>
  <c r="F301" i="2" s="1"/>
  <c r="D297" i="2"/>
  <c r="D288" i="2"/>
  <c r="D261" i="2"/>
  <c r="E261" i="2"/>
  <c r="D257" i="2"/>
  <c r="E257" i="2"/>
  <c r="D212" i="2"/>
  <c r="E212" i="2"/>
  <c r="D100" i="2"/>
  <c r="E100" i="2"/>
  <c r="D85" i="2"/>
  <c r="E85" i="2"/>
  <c r="D225" i="2"/>
  <c r="E225" i="2"/>
  <c r="D148" i="2"/>
  <c r="E148" i="2"/>
  <c r="E489" i="2"/>
  <c r="D480" i="2"/>
  <c r="D464" i="2"/>
  <c r="E493" i="2"/>
  <c r="E492" i="2"/>
  <c r="E496" i="2"/>
  <c r="D488" i="2"/>
  <c r="E480" i="2"/>
  <c r="D472" i="2"/>
  <c r="F472" i="2" s="1"/>
  <c r="E464" i="2"/>
  <c r="D456" i="2"/>
  <c r="E450" i="2"/>
  <c r="D434" i="2"/>
  <c r="D427" i="2"/>
  <c r="D414" i="2"/>
  <c r="D412" i="2"/>
  <c r="E410" i="2"/>
  <c r="D402" i="2"/>
  <c r="E396" i="2"/>
  <c r="D392" i="2"/>
  <c r="D382" i="2"/>
  <c r="D380" i="2"/>
  <c r="F380" i="2" s="1"/>
  <c r="E378" i="2"/>
  <c r="D370" i="2"/>
  <c r="E364" i="2"/>
  <c r="D360" i="2"/>
  <c r="D356" i="2"/>
  <c r="D346" i="2"/>
  <c r="D344" i="2"/>
  <c r="E336" i="2"/>
  <c r="D330" i="2"/>
  <c r="E325" i="2"/>
  <c r="D305" i="2"/>
  <c r="F305" i="2" s="1"/>
  <c r="E304" i="2"/>
  <c r="E300" i="2"/>
  <c r="E293" i="2"/>
  <c r="D281" i="2"/>
  <c r="E281" i="2"/>
  <c r="D268" i="2"/>
  <c r="E268" i="2"/>
  <c r="D228" i="2"/>
  <c r="E228" i="2"/>
  <c r="D213" i="2"/>
  <c r="E213" i="2"/>
  <c r="D209" i="2"/>
  <c r="E209" i="2"/>
  <c r="D197" i="2"/>
  <c r="E197" i="2"/>
  <c r="D184" i="2"/>
  <c r="E184" i="2"/>
  <c r="D168" i="2"/>
  <c r="E168" i="2"/>
  <c r="D141" i="2"/>
  <c r="E141" i="2"/>
  <c r="D134" i="2"/>
  <c r="E134" i="2"/>
  <c r="D109" i="2"/>
  <c r="E109" i="2"/>
  <c r="D105" i="2"/>
  <c r="E105" i="2"/>
  <c r="D81" i="2"/>
  <c r="E81" i="2"/>
  <c r="D328" i="2"/>
  <c r="D314" i="2"/>
  <c r="D312" i="2"/>
  <c r="D298" i="2"/>
  <c r="D296" i="2"/>
  <c r="E294" i="2"/>
  <c r="E287" i="2"/>
  <c r="D279" i="2"/>
  <c r="D270" i="2"/>
  <c r="D264" i="2"/>
  <c r="E258" i="2"/>
  <c r="D248" i="2"/>
  <c r="E242" i="2"/>
  <c r="D232" i="2"/>
  <c r="E226" i="2"/>
  <c r="F226" i="2" s="1"/>
  <c r="D216" i="2"/>
  <c r="E210" i="2"/>
  <c r="D202" i="2"/>
  <c r="D179" i="2"/>
  <c r="D163" i="2"/>
  <c r="D157" i="2"/>
  <c r="D151" i="2"/>
  <c r="E118" i="2"/>
  <c r="D108" i="2"/>
  <c r="D88" i="2"/>
  <c r="D72" i="2"/>
  <c r="E65" i="2"/>
  <c r="D56" i="2"/>
  <c r="E49" i="2"/>
  <c r="D40" i="2"/>
  <c r="E33" i="2"/>
  <c r="E32" i="2"/>
  <c r="F32" i="2" s="1"/>
  <c r="E53" i="2"/>
  <c r="E52" i="2"/>
  <c r="E37" i="2"/>
  <c r="F37" i="2" s="1"/>
  <c r="E36" i="2"/>
  <c r="F36" i="2" s="1"/>
  <c r="D322" i="2"/>
  <c r="D320" i="2"/>
  <c r="D306" i="2"/>
  <c r="D304" i="2"/>
  <c r="D295" i="2"/>
  <c r="D286" i="2"/>
  <c r="D280" i="2"/>
  <c r="E278" i="2"/>
  <c r="E271" i="2"/>
  <c r="D256" i="2"/>
  <c r="E250" i="2"/>
  <c r="D240" i="2"/>
  <c r="E234" i="2"/>
  <c r="D224" i="2"/>
  <c r="E218" i="2"/>
  <c r="D208" i="2"/>
  <c r="D198" i="2"/>
  <c r="D196" i="2"/>
  <c r="F196" i="2" s="1"/>
  <c r="D194" i="2"/>
  <c r="D147" i="2"/>
  <c r="E142" i="2"/>
  <c r="E129" i="2"/>
  <c r="D124" i="2"/>
  <c r="E102" i="2"/>
  <c r="F102" i="2" s="1"/>
  <c r="D96" i="2"/>
  <c r="D80" i="2"/>
  <c r="D64" i="2"/>
  <c r="F64" i="2" s="1"/>
  <c r="D48" i="2"/>
  <c r="F48" i="2" s="1"/>
  <c r="D453" i="2"/>
  <c r="E453" i="2"/>
  <c r="D443" i="2"/>
  <c r="E443" i="2"/>
  <c r="D499" i="2"/>
  <c r="E499" i="2"/>
  <c r="D495" i="2"/>
  <c r="E495" i="2"/>
  <c r="D491" i="2"/>
  <c r="E491" i="2"/>
  <c r="D487" i="2"/>
  <c r="E487" i="2"/>
  <c r="D483" i="2"/>
  <c r="E483" i="2"/>
  <c r="D479" i="2"/>
  <c r="E479" i="2"/>
  <c r="D475" i="2"/>
  <c r="E475" i="2"/>
  <c r="D471" i="2"/>
  <c r="E471" i="2"/>
  <c r="D467" i="2"/>
  <c r="E467" i="2"/>
  <c r="D463" i="2"/>
  <c r="E463" i="2"/>
  <c r="D459" i="2"/>
  <c r="E459" i="2"/>
  <c r="D455" i="2"/>
  <c r="E455" i="2"/>
  <c r="D437" i="2"/>
  <c r="E437" i="2"/>
  <c r="D498" i="2"/>
  <c r="E498" i="2"/>
  <c r="D494" i="2"/>
  <c r="E494" i="2"/>
  <c r="D490" i="2"/>
  <c r="E490" i="2"/>
  <c r="D486" i="2"/>
  <c r="E486" i="2"/>
  <c r="D482" i="2"/>
  <c r="E482" i="2"/>
  <c r="D478" i="2"/>
  <c r="E478" i="2"/>
  <c r="D474" i="2"/>
  <c r="E474" i="2"/>
  <c r="D470" i="2"/>
  <c r="E470" i="2"/>
  <c r="D466" i="2"/>
  <c r="E466" i="2"/>
  <c r="D462" i="2"/>
  <c r="E462" i="2"/>
  <c r="D458" i="2"/>
  <c r="E458" i="2"/>
  <c r="D454" i="2"/>
  <c r="E454" i="2"/>
  <c r="D444" i="2"/>
  <c r="E444" i="2"/>
  <c r="E442" i="2"/>
  <c r="D442" i="2"/>
  <c r="D419" i="2"/>
  <c r="E419" i="2"/>
  <c r="D395" i="2"/>
  <c r="E395" i="2"/>
  <c r="D379" i="2"/>
  <c r="E379" i="2"/>
  <c r="D269" i="2"/>
  <c r="E269" i="2"/>
  <c r="D259" i="2"/>
  <c r="E259" i="2"/>
  <c r="D235" i="2"/>
  <c r="E235" i="2"/>
  <c r="D219" i="2"/>
  <c r="E219" i="2"/>
  <c r="D211" i="2"/>
  <c r="E211" i="2"/>
  <c r="D176" i="2"/>
  <c r="E176" i="2"/>
  <c r="D119" i="2"/>
  <c r="E119" i="2"/>
  <c r="D111" i="2"/>
  <c r="E111" i="2"/>
  <c r="D103" i="2"/>
  <c r="E103" i="2"/>
  <c r="E447" i="2"/>
  <c r="F447" i="2" s="1"/>
  <c r="D446" i="2"/>
  <c r="E441" i="2"/>
  <c r="D439" i="2"/>
  <c r="E438" i="2"/>
  <c r="E431" i="2"/>
  <c r="D430" i="2"/>
  <c r="E428" i="2"/>
  <c r="E425" i="2"/>
  <c r="D423" i="2"/>
  <c r="E422" i="2"/>
  <c r="E416" i="2"/>
  <c r="E414" i="2"/>
  <c r="E408" i="2"/>
  <c r="E406" i="2"/>
  <c r="E400" i="2"/>
  <c r="E398" i="2"/>
  <c r="F398" i="2" s="1"/>
  <c r="E392" i="2"/>
  <c r="E390" i="2"/>
  <c r="E384" i="2"/>
  <c r="E382" i="2"/>
  <c r="E376" i="2"/>
  <c r="E374" i="2"/>
  <c r="E368" i="2"/>
  <c r="E366" i="2"/>
  <c r="F366" i="2" s="1"/>
  <c r="E360" i="2"/>
  <c r="E358" i="2"/>
  <c r="E352" i="2"/>
  <c r="E350" i="2"/>
  <c r="F350" i="2" s="1"/>
  <c r="E346" i="2"/>
  <c r="E342" i="2"/>
  <c r="E338" i="2"/>
  <c r="F338" i="2" s="1"/>
  <c r="E334" i="2"/>
  <c r="E330" i="2"/>
  <c r="E326" i="2"/>
  <c r="E322" i="2"/>
  <c r="E318" i="2"/>
  <c r="E314" i="2"/>
  <c r="E310" i="2"/>
  <c r="E306" i="2"/>
  <c r="E302" i="2"/>
  <c r="E298" i="2"/>
  <c r="D292" i="2"/>
  <c r="E292" i="2"/>
  <c r="E290" i="2"/>
  <c r="D290" i="2"/>
  <c r="D167" i="2"/>
  <c r="E167" i="2"/>
  <c r="E165" i="2"/>
  <c r="D165" i="2"/>
  <c r="D162" i="2"/>
  <c r="E162" i="2"/>
  <c r="D154" i="2"/>
  <c r="E154" i="2"/>
  <c r="D146" i="2"/>
  <c r="E146" i="2"/>
  <c r="D403" i="2"/>
  <c r="E403" i="2"/>
  <c r="D387" i="2"/>
  <c r="E387" i="2"/>
  <c r="D355" i="2"/>
  <c r="E355" i="2"/>
  <c r="D275" i="2"/>
  <c r="E275" i="2"/>
  <c r="D251" i="2"/>
  <c r="E251" i="2"/>
  <c r="D243" i="2"/>
  <c r="E243" i="2"/>
  <c r="D227" i="2"/>
  <c r="E227" i="2"/>
  <c r="D203" i="2"/>
  <c r="E203" i="2"/>
  <c r="E427" i="2"/>
  <c r="D426" i="2"/>
  <c r="D415" i="2"/>
  <c r="E415" i="2"/>
  <c r="D407" i="2"/>
  <c r="E407" i="2"/>
  <c r="D399" i="2"/>
  <c r="E399" i="2"/>
  <c r="D391" i="2"/>
  <c r="E391" i="2"/>
  <c r="D383" i="2"/>
  <c r="E383" i="2"/>
  <c r="D375" i="2"/>
  <c r="E375" i="2"/>
  <c r="D367" i="2"/>
  <c r="E367" i="2"/>
  <c r="D359" i="2"/>
  <c r="E359" i="2"/>
  <c r="D351" i="2"/>
  <c r="E351" i="2"/>
  <c r="D276" i="2"/>
  <c r="E276" i="2"/>
  <c r="E274" i="2"/>
  <c r="D274" i="2"/>
  <c r="D411" i="2"/>
  <c r="E411" i="2"/>
  <c r="D371" i="2"/>
  <c r="E371" i="2"/>
  <c r="D363" i="2"/>
  <c r="E363" i="2"/>
  <c r="E354" i="2"/>
  <c r="D347" i="2"/>
  <c r="E347" i="2"/>
  <c r="D343" i="2"/>
  <c r="E343" i="2"/>
  <c r="D339" i="2"/>
  <c r="E339" i="2"/>
  <c r="D335" i="2"/>
  <c r="E335" i="2"/>
  <c r="D331" i="2"/>
  <c r="E331" i="2"/>
  <c r="D327" i="2"/>
  <c r="E327" i="2"/>
  <c r="D323" i="2"/>
  <c r="E323" i="2"/>
  <c r="D319" i="2"/>
  <c r="E319" i="2"/>
  <c r="D315" i="2"/>
  <c r="E315" i="2"/>
  <c r="D311" i="2"/>
  <c r="E311" i="2"/>
  <c r="D307" i="2"/>
  <c r="E307" i="2"/>
  <c r="D303" i="2"/>
  <c r="E303" i="2"/>
  <c r="D299" i="2"/>
  <c r="E299" i="2"/>
  <c r="D291" i="2"/>
  <c r="E291" i="2"/>
  <c r="D285" i="2"/>
  <c r="E285" i="2"/>
  <c r="D195" i="2"/>
  <c r="E195" i="2"/>
  <c r="E295" i="2"/>
  <c r="D294" i="2"/>
  <c r="E289" i="2"/>
  <c r="D287" i="2"/>
  <c r="E286" i="2"/>
  <c r="E279" i="2"/>
  <c r="D278" i="2"/>
  <c r="E273" i="2"/>
  <c r="F273" i="2" s="1"/>
  <c r="D271" i="2"/>
  <c r="E270" i="2"/>
  <c r="E262" i="2"/>
  <c r="E256" i="2"/>
  <c r="E254" i="2"/>
  <c r="E248" i="2"/>
  <c r="E246" i="2"/>
  <c r="E240" i="2"/>
  <c r="E238" i="2"/>
  <c r="F238" i="2" s="1"/>
  <c r="E232" i="2"/>
  <c r="E230" i="2"/>
  <c r="E224" i="2"/>
  <c r="E222" i="2"/>
  <c r="F222" i="2" s="1"/>
  <c r="E216" i="2"/>
  <c r="E214" i="2"/>
  <c r="E208" i="2"/>
  <c r="E206" i="2"/>
  <c r="E200" i="2"/>
  <c r="F200" i="2" s="1"/>
  <c r="E198" i="2"/>
  <c r="D192" i="2"/>
  <c r="E192" i="2"/>
  <c r="D183" i="2"/>
  <c r="E183" i="2"/>
  <c r="E181" i="2"/>
  <c r="D181" i="2"/>
  <c r="D283" i="2"/>
  <c r="E282" i="2"/>
  <c r="D267" i="2"/>
  <c r="E266" i="2"/>
  <c r="D263" i="2"/>
  <c r="E263" i="2"/>
  <c r="D255" i="2"/>
  <c r="E255" i="2"/>
  <c r="D247" i="2"/>
  <c r="E247" i="2"/>
  <c r="D239" i="2"/>
  <c r="E239" i="2"/>
  <c r="D231" i="2"/>
  <c r="E231" i="2"/>
  <c r="D223" i="2"/>
  <c r="E223" i="2"/>
  <c r="D215" i="2"/>
  <c r="E215" i="2"/>
  <c r="D207" i="2"/>
  <c r="E207" i="2"/>
  <c r="D199" i="2"/>
  <c r="E199" i="2"/>
  <c r="D166" i="2"/>
  <c r="E166" i="2"/>
  <c r="D182" i="2"/>
  <c r="E182" i="2"/>
  <c r="D137" i="2"/>
  <c r="E137" i="2"/>
  <c r="E193" i="2"/>
  <c r="D178" i="2"/>
  <c r="E177" i="2"/>
  <c r="E157" i="2"/>
  <c r="E149" i="2"/>
  <c r="D133" i="2"/>
  <c r="E133" i="2"/>
  <c r="E131" i="2"/>
  <c r="D131" i="2"/>
  <c r="D190" i="2"/>
  <c r="F190" i="2" s="1"/>
  <c r="E189" i="2"/>
  <c r="E179" i="2"/>
  <c r="D174" i="2"/>
  <c r="E173" i="2"/>
  <c r="E163" i="2"/>
  <c r="D158" i="2"/>
  <c r="E158" i="2"/>
  <c r="D150" i="2"/>
  <c r="E150" i="2"/>
  <c r="E135" i="2"/>
  <c r="D135" i="2"/>
  <c r="D130" i="2"/>
  <c r="E130" i="2"/>
  <c r="D120" i="2"/>
  <c r="E120" i="2"/>
  <c r="D112" i="2"/>
  <c r="E112" i="2"/>
  <c r="D104" i="2"/>
  <c r="E104" i="2"/>
  <c r="E194" i="2"/>
  <c r="D193" i="2"/>
  <c r="D186" i="2"/>
  <c r="E185" i="2"/>
  <c r="E178" i="2"/>
  <c r="D177" i="2"/>
  <c r="D170" i="2"/>
  <c r="E169" i="2"/>
  <c r="E161" i="2"/>
  <c r="E155" i="2"/>
  <c r="E153" i="2"/>
  <c r="E147" i="2"/>
  <c r="E145" i="2"/>
  <c r="D136" i="2"/>
  <c r="E136" i="2"/>
  <c r="D132" i="2"/>
  <c r="E132" i="2"/>
  <c r="E122" i="2"/>
  <c r="D122" i="2"/>
  <c r="E114" i="2"/>
  <c r="D114" i="2"/>
  <c r="E106" i="2"/>
  <c r="D106" i="2"/>
  <c r="D144" i="2"/>
  <c r="E143" i="2"/>
  <c r="D128" i="2"/>
  <c r="E127" i="2"/>
  <c r="D123" i="2"/>
  <c r="E123" i="2"/>
  <c r="D115" i="2"/>
  <c r="E115" i="2"/>
  <c r="D107" i="2"/>
  <c r="E107" i="2"/>
  <c r="D99" i="2"/>
  <c r="E99" i="2"/>
  <c r="D95" i="2"/>
  <c r="E95" i="2"/>
  <c r="D91" i="2"/>
  <c r="E91" i="2"/>
  <c r="D87" i="2"/>
  <c r="E87" i="2"/>
  <c r="D83" i="2"/>
  <c r="E83" i="2"/>
  <c r="D79" i="2"/>
  <c r="E79" i="2"/>
  <c r="D75" i="2"/>
  <c r="E75" i="2"/>
  <c r="D71" i="2"/>
  <c r="E71" i="2"/>
  <c r="D67" i="2"/>
  <c r="E67" i="2"/>
  <c r="D63" i="2"/>
  <c r="E63" i="2"/>
  <c r="D59" i="2"/>
  <c r="E59" i="2"/>
  <c r="D55" i="2"/>
  <c r="E55" i="2"/>
  <c r="D51" i="2"/>
  <c r="E51" i="2"/>
  <c r="D47" i="2"/>
  <c r="E47" i="2"/>
  <c r="D43" i="2"/>
  <c r="E43" i="2"/>
  <c r="D39" i="2"/>
  <c r="E39" i="2"/>
  <c r="D35" i="2"/>
  <c r="E35" i="2"/>
  <c r="D140" i="2"/>
  <c r="E139" i="2"/>
  <c r="F139" i="2" s="1"/>
  <c r="D98" i="2"/>
  <c r="E98" i="2"/>
  <c r="D94" i="2"/>
  <c r="E94" i="2"/>
  <c r="D90" i="2"/>
  <c r="E90" i="2"/>
  <c r="D86" i="2"/>
  <c r="E86" i="2"/>
  <c r="D82" i="2"/>
  <c r="E82" i="2"/>
  <c r="D78" i="2"/>
  <c r="E78" i="2"/>
  <c r="D74" i="2"/>
  <c r="E74" i="2"/>
  <c r="D70" i="2"/>
  <c r="E70" i="2"/>
  <c r="D66" i="2"/>
  <c r="E66" i="2"/>
  <c r="D62" i="2"/>
  <c r="E62" i="2"/>
  <c r="D58" i="2"/>
  <c r="E58" i="2"/>
  <c r="D54" i="2"/>
  <c r="E54" i="2"/>
  <c r="D50" i="2"/>
  <c r="E50" i="2"/>
  <c r="D46" i="2"/>
  <c r="E46" i="2"/>
  <c r="D42" i="2"/>
  <c r="E42" i="2"/>
  <c r="D38" i="2"/>
  <c r="E38" i="2"/>
  <c r="D34" i="2"/>
  <c r="E34" i="2"/>
  <c r="J2" i="2"/>
  <c r="G2" i="2"/>
  <c r="O1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2" i="2"/>
  <c r="D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F93" i="2" l="1"/>
  <c r="F318" i="2"/>
  <c r="F341" i="2"/>
  <c r="F271" i="2"/>
  <c r="F144" i="2"/>
  <c r="F169" i="2"/>
  <c r="F302" i="2"/>
  <c r="F334" i="2"/>
  <c r="F65" i="2"/>
  <c r="F258" i="2"/>
  <c r="F473" i="2"/>
  <c r="F44" i="2"/>
  <c r="F242" i="2"/>
  <c r="F143" i="2"/>
  <c r="F189" i="2"/>
  <c r="F488" i="2"/>
  <c r="F369" i="2"/>
  <c r="F205" i="2"/>
  <c r="F424" i="2"/>
  <c r="F448" i="2"/>
  <c r="F233" i="2"/>
  <c r="F52" i="2"/>
  <c r="F185" i="2"/>
  <c r="F358" i="2"/>
  <c r="F374" i="2"/>
  <c r="F422" i="2"/>
  <c r="F96" i="2"/>
  <c r="F356" i="2"/>
  <c r="F378" i="2"/>
  <c r="F60" i="2"/>
  <c r="F201" i="2"/>
  <c r="F357" i="2"/>
  <c r="F293" i="2"/>
  <c r="F220" i="2"/>
  <c r="F159" i="2"/>
  <c r="F72" i="2"/>
  <c r="F432" i="2"/>
  <c r="F477" i="2"/>
  <c r="F127" i="2"/>
  <c r="F186" i="2"/>
  <c r="F266" i="2"/>
  <c r="F246" i="2"/>
  <c r="F204" i="2"/>
  <c r="F316" i="2"/>
  <c r="F430" i="2"/>
  <c r="F40" i="2"/>
  <c r="F404" i="2"/>
  <c r="F194" i="2"/>
  <c r="F236" i="2"/>
  <c r="F172" i="2"/>
  <c r="F250" i="2"/>
  <c r="F309" i="2"/>
  <c r="F397" i="2"/>
  <c r="F497" i="2"/>
  <c r="F417" i="2"/>
  <c r="F170" i="2"/>
  <c r="F344" i="2"/>
  <c r="F416" i="2"/>
  <c r="F280" i="2"/>
  <c r="F49" i="2"/>
  <c r="F296" i="2"/>
  <c r="F340" i="2"/>
  <c r="F405" i="2"/>
  <c r="F460" i="2"/>
  <c r="F155" i="2"/>
  <c r="F149" i="2"/>
  <c r="F282" i="2"/>
  <c r="F214" i="2"/>
  <c r="F270" i="2"/>
  <c r="F376" i="2"/>
  <c r="F390" i="2"/>
  <c r="F406" i="2"/>
  <c r="F428" i="2"/>
  <c r="F439" i="2"/>
  <c r="F80" i="2"/>
  <c r="F450" i="2"/>
  <c r="F288" i="2"/>
  <c r="F372" i="2"/>
  <c r="F433" i="2"/>
  <c r="F461" i="2"/>
  <c r="F484" i="2"/>
  <c r="F68" i="2"/>
  <c r="F152" i="2"/>
  <c r="F126" i="2"/>
  <c r="F188" i="2"/>
  <c r="F465" i="2"/>
  <c r="F337" i="2"/>
  <c r="F61" i="2"/>
  <c r="F125" i="2"/>
  <c r="F389" i="2"/>
  <c r="F116" i="2"/>
  <c r="F385" i="2"/>
  <c r="F501" i="2"/>
  <c r="F317" i="2"/>
  <c r="F481" i="2"/>
  <c r="F361" i="2"/>
  <c r="F304" i="2"/>
  <c r="F400" i="2"/>
  <c r="F283" i="2"/>
  <c r="F322" i="2"/>
  <c r="F241" i="2"/>
  <c r="F234" i="2"/>
  <c r="F476" i="2"/>
  <c r="F121" i="2"/>
  <c r="F210" i="2"/>
  <c r="F308" i="2"/>
  <c r="F151" i="2"/>
  <c r="F434" i="2"/>
  <c r="F298" i="2"/>
  <c r="F198" i="2"/>
  <c r="F230" i="2"/>
  <c r="F145" i="2"/>
  <c r="F161" i="2"/>
  <c r="F295" i="2"/>
  <c r="F408" i="2"/>
  <c r="F218" i="2"/>
  <c r="F168" i="2"/>
  <c r="F213" i="2"/>
  <c r="F84" i="2"/>
  <c r="F272" i="2"/>
  <c r="F267" i="2"/>
  <c r="F256" i="2"/>
  <c r="F306" i="2"/>
  <c r="F352" i="2"/>
  <c r="F142" i="2"/>
  <c r="F56" i="2"/>
  <c r="F108" i="2"/>
  <c r="F325" i="2"/>
  <c r="F412" i="2"/>
  <c r="F85" i="2"/>
  <c r="F332" i="2"/>
  <c r="F232" i="2"/>
  <c r="F441" i="2"/>
  <c r="F105" i="2"/>
  <c r="F134" i="2"/>
  <c r="F197" i="2"/>
  <c r="F229" i="2"/>
  <c r="F157" i="2"/>
  <c r="F224" i="2"/>
  <c r="F384" i="2"/>
  <c r="F425" i="2"/>
  <c r="F33" i="2"/>
  <c r="F118" i="2"/>
  <c r="F414" i="2"/>
  <c r="F456" i="2"/>
  <c r="F333" i="2"/>
  <c r="F386" i="2"/>
  <c r="F394" i="2"/>
  <c r="F217" i="2"/>
  <c r="F485" i="2"/>
  <c r="F140" i="2"/>
  <c r="F206" i="2"/>
  <c r="F289" i="2"/>
  <c r="F354" i="2"/>
  <c r="F292" i="2"/>
  <c r="F310" i="2"/>
  <c r="F326" i="2"/>
  <c r="F264" i="2"/>
  <c r="F388" i="2"/>
  <c r="F330" i="2"/>
  <c r="F423" i="2"/>
  <c r="F431" i="2"/>
  <c r="F129" i="2"/>
  <c r="F410" i="2"/>
  <c r="F489" i="2"/>
  <c r="F324" i="2"/>
  <c r="F348" i="2"/>
  <c r="F393" i="2"/>
  <c r="F418" i="2"/>
  <c r="F313" i="2"/>
  <c r="F128" i="2"/>
  <c r="F379" i="2"/>
  <c r="F419" i="2"/>
  <c r="F444" i="2"/>
  <c r="F451" i="2"/>
  <c r="F468" i="2"/>
  <c r="F160" i="2"/>
  <c r="F265" i="2"/>
  <c r="F57" i="2"/>
  <c r="F88" i="2"/>
  <c r="F138" i="2"/>
  <c r="F284" i="2"/>
  <c r="F175" i="2"/>
  <c r="F249" i="2"/>
  <c r="F174" i="2"/>
  <c r="F382" i="2"/>
  <c r="F124" i="2"/>
  <c r="F300" i="2"/>
  <c r="F148" i="2"/>
  <c r="F297" i="2"/>
  <c r="F329" i="2"/>
  <c r="F179" i="2"/>
  <c r="F262" i="2"/>
  <c r="F287" i="2"/>
  <c r="F320" i="2"/>
  <c r="F373" i="2"/>
  <c r="F362" i="2"/>
  <c r="F381" i="2"/>
  <c r="F401" i="2"/>
  <c r="F153" i="2"/>
  <c r="F135" i="2"/>
  <c r="F342" i="2"/>
  <c r="F53" i="2"/>
  <c r="F402" i="2"/>
  <c r="F225" i="2"/>
  <c r="F101" i="2"/>
  <c r="F252" i="2"/>
  <c r="F173" i="2"/>
  <c r="F254" i="2"/>
  <c r="F278" i="2"/>
  <c r="F427" i="2"/>
  <c r="F395" i="2"/>
  <c r="F312" i="2"/>
  <c r="F492" i="2"/>
  <c r="F212" i="2"/>
  <c r="F244" i="2"/>
  <c r="F345" i="2"/>
  <c r="F131" i="2"/>
  <c r="F216" i="2"/>
  <c r="F240" i="2"/>
  <c r="F248" i="2"/>
  <c r="F279" i="2"/>
  <c r="F274" i="2"/>
  <c r="F360" i="2"/>
  <c r="F446" i="2"/>
  <c r="F202" i="2"/>
  <c r="F314" i="2"/>
  <c r="F81" i="2"/>
  <c r="F109" i="2"/>
  <c r="F141" i="2"/>
  <c r="F184" i="2"/>
  <c r="F209" i="2"/>
  <c r="F228" i="2"/>
  <c r="F370" i="2"/>
  <c r="F493" i="2"/>
  <c r="F100" i="2"/>
  <c r="F97" i="2"/>
  <c r="F147" i="2"/>
  <c r="F163" i="2"/>
  <c r="F208" i="2"/>
  <c r="F438" i="2"/>
  <c r="F328" i="2"/>
  <c r="F257" i="2"/>
  <c r="F110" i="2"/>
  <c r="F46" i="2"/>
  <c r="F62" i="2"/>
  <c r="F78" i="2"/>
  <c r="F94" i="2"/>
  <c r="F39" i="2"/>
  <c r="F47" i="2"/>
  <c r="F55" i="2"/>
  <c r="F63" i="2"/>
  <c r="F71" i="2"/>
  <c r="F79" i="2"/>
  <c r="F87" i="2"/>
  <c r="F95" i="2"/>
  <c r="F107" i="2"/>
  <c r="F123" i="2"/>
  <c r="F114" i="2"/>
  <c r="F104" i="2"/>
  <c r="F120" i="2"/>
  <c r="F166" i="2"/>
  <c r="F199" i="2"/>
  <c r="F215" i="2"/>
  <c r="F231" i="2"/>
  <c r="F247" i="2"/>
  <c r="F263" i="2"/>
  <c r="F183" i="2"/>
  <c r="F291" i="2"/>
  <c r="F303" i="2"/>
  <c r="F311" i="2"/>
  <c r="F319" i="2"/>
  <c r="F327" i="2"/>
  <c r="F335" i="2"/>
  <c r="F343" i="2"/>
  <c r="F351" i="2"/>
  <c r="F367" i="2"/>
  <c r="F383" i="2"/>
  <c r="F399" i="2"/>
  <c r="F415" i="2"/>
  <c r="F203" i="2"/>
  <c r="F243" i="2"/>
  <c r="F275" i="2"/>
  <c r="F165" i="2"/>
  <c r="F346" i="2"/>
  <c r="F368" i="2"/>
  <c r="F211" i="2"/>
  <c r="F235" i="2"/>
  <c r="F269" i="2"/>
  <c r="F442" i="2"/>
  <c r="F458" i="2"/>
  <c r="F466" i="2"/>
  <c r="F474" i="2"/>
  <c r="F482" i="2"/>
  <c r="F490" i="2"/>
  <c r="F498" i="2"/>
  <c r="F455" i="2"/>
  <c r="F463" i="2"/>
  <c r="F471" i="2"/>
  <c r="F281" i="2"/>
  <c r="F396" i="2"/>
  <c r="F464" i="2"/>
  <c r="F69" i="2"/>
  <c r="F245" i="2"/>
  <c r="F193" i="2"/>
  <c r="F286" i="2"/>
  <c r="F294" i="2"/>
  <c r="F426" i="2"/>
  <c r="F392" i="2"/>
  <c r="F480" i="2"/>
  <c r="F38" i="2"/>
  <c r="F54" i="2"/>
  <c r="F70" i="2"/>
  <c r="F86" i="2"/>
  <c r="F35" i="2"/>
  <c r="F43" i="2"/>
  <c r="F51" i="2"/>
  <c r="F59" i="2"/>
  <c r="F67" i="2"/>
  <c r="F75" i="2"/>
  <c r="F83" i="2"/>
  <c r="F91" i="2"/>
  <c r="F99" i="2"/>
  <c r="F115" i="2"/>
  <c r="F106" i="2"/>
  <c r="F122" i="2"/>
  <c r="F112" i="2"/>
  <c r="F207" i="2"/>
  <c r="F223" i="2"/>
  <c r="F239" i="2"/>
  <c r="F255" i="2"/>
  <c r="F285" i="2"/>
  <c r="F299" i="2"/>
  <c r="F307" i="2"/>
  <c r="F315" i="2"/>
  <c r="F323" i="2"/>
  <c r="F331" i="2"/>
  <c r="F339" i="2"/>
  <c r="F347" i="2"/>
  <c r="F359" i="2"/>
  <c r="F375" i="2"/>
  <c r="F391" i="2"/>
  <c r="F407" i="2"/>
  <c r="F227" i="2"/>
  <c r="F251" i="2"/>
  <c r="F176" i="2"/>
  <c r="F219" i="2"/>
  <c r="F259" i="2"/>
  <c r="F268" i="2"/>
  <c r="F364" i="2"/>
  <c r="F261" i="2"/>
  <c r="F496" i="2"/>
  <c r="F260" i="2"/>
  <c r="F336" i="2"/>
  <c r="F42" i="2"/>
  <c r="F58" i="2"/>
  <c r="F74" i="2"/>
  <c r="F90" i="2"/>
  <c r="F132" i="2"/>
  <c r="F177" i="2"/>
  <c r="F150" i="2"/>
  <c r="F178" i="2"/>
  <c r="F137" i="2"/>
  <c r="F182" i="2"/>
  <c r="F192" i="2"/>
  <c r="F371" i="2"/>
  <c r="F276" i="2"/>
  <c r="F387" i="2"/>
  <c r="F146" i="2"/>
  <c r="F162" i="2"/>
  <c r="F167" i="2"/>
  <c r="F290" i="2"/>
  <c r="F103" i="2"/>
  <c r="F119" i="2"/>
  <c r="F437" i="2"/>
  <c r="F459" i="2"/>
  <c r="F467" i="2"/>
  <c r="F475" i="2"/>
  <c r="F483" i="2"/>
  <c r="F491" i="2"/>
  <c r="F499" i="2"/>
  <c r="F453" i="2"/>
  <c r="F454" i="2"/>
  <c r="F462" i="2"/>
  <c r="F470" i="2"/>
  <c r="F478" i="2"/>
  <c r="F486" i="2"/>
  <c r="F494" i="2"/>
  <c r="F2" i="2"/>
  <c r="F34" i="2"/>
  <c r="F50" i="2"/>
  <c r="F66" i="2"/>
  <c r="F82" i="2"/>
  <c r="F98" i="2"/>
  <c r="F136" i="2"/>
  <c r="F130" i="2"/>
  <c r="F158" i="2"/>
  <c r="F133" i="2"/>
  <c r="F181" i="2"/>
  <c r="F195" i="2"/>
  <c r="F363" i="2"/>
  <c r="F411" i="2"/>
  <c r="F355" i="2"/>
  <c r="F403" i="2"/>
  <c r="F154" i="2"/>
  <c r="F111" i="2"/>
  <c r="F479" i="2"/>
  <c r="F487" i="2"/>
  <c r="F495" i="2"/>
  <c r="F443" i="2"/>
  <c r="F3" i="2"/>
  <c r="F31" i="2"/>
  <c r="F27" i="2"/>
  <c r="F23" i="2"/>
  <c r="F19" i="2"/>
  <c r="F15" i="2"/>
  <c r="F11" i="2"/>
  <c r="F7" i="2"/>
  <c r="F28" i="2"/>
  <c r="F24" i="2"/>
  <c r="F20" i="2"/>
  <c r="F16" i="2"/>
  <c r="F12" i="2"/>
  <c r="F8" i="2"/>
  <c r="F4" i="2"/>
  <c r="F30" i="2"/>
  <c r="F26" i="2"/>
  <c r="F22" i="2"/>
  <c r="F18" i="2"/>
  <c r="F14" i="2"/>
  <c r="F10" i="2"/>
  <c r="F6" i="2"/>
  <c r="F29" i="2"/>
  <c r="F25" i="2"/>
  <c r="F21" i="2"/>
  <c r="F17" i="2"/>
  <c r="F13" i="2"/>
  <c r="F9" i="2"/>
  <c r="F5" i="2"/>
  <c r="H2" i="2" l="1"/>
  <c r="H3" i="2" s="1"/>
  <c r="L2" i="2"/>
  <c r="L3" i="2" s="1"/>
  <c r="K2" i="2"/>
  <c r="K3" i="2" s="1"/>
  <c r="I2" i="2"/>
  <c r="I3" i="2" s="1"/>
  <c r="M3" i="2" l="1"/>
</calcChain>
</file>

<file path=xl/sharedStrings.xml><?xml version="1.0" encoding="utf-8"?>
<sst xmlns="http://schemas.openxmlformats.org/spreadsheetml/2006/main" count="512" uniqueCount="510">
  <si>
    <t>Expectation</t>
  </si>
  <si>
    <t>Initiation</t>
  </si>
  <si>
    <t>ID</t>
  </si>
  <si>
    <t>ID1</t>
  </si>
  <si>
    <t>ID2</t>
  </si>
  <si>
    <t>ID3</t>
  </si>
  <si>
    <t>ID4</t>
  </si>
  <si>
    <t>ID5</t>
  </si>
  <si>
    <t>ID6</t>
  </si>
  <si>
    <t>ID7</t>
  </si>
  <si>
    <t>ID8</t>
  </si>
  <si>
    <t>ID9</t>
  </si>
  <si>
    <t>ID10</t>
  </si>
  <si>
    <t>ID11</t>
  </si>
  <si>
    <t>ID12</t>
  </si>
  <si>
    <t>ID13</t>
  </si>
  <si>
    <t>ID14</t>
  </si>
  <si>
    <t>ID15</t>
  </si>
  <si>
    <t>ID16</t>
  </si>
  <si>
    <t>ID17</t>
  </si>
  <si>
    <t>ID18</t>
  </si>
  <si>
    <t>ID19</t>
  </si>
  <si>
    <t>ID20</t>
  </si>
  <si>
    <t>ID21</t>
  </si>
  <si>
    <t>ID22</t>
  </si>
  <si>
    <t>ID23</t>
  </si>
  <si>
    <t>ID24</t>
  </si>
  <si>
    <t>ID25</t>
  </si>
  <si>
    <t>ID26</t>
  </si>
  <si>
    <t>ID27</t>
  </si>
  <si>
    <t>ID28</t>
  </si>
  <si>
    <t>ID29</t>
  </si>
  <si>
    <t>ID30</t>
  </si>
  <si>
    <t>m1</t>
  </si>
  <si>
    <t>m2</t>
  </si>
  <si>
    <t>Cluster</t>
  </si>
  <si>
    <t xml:space="preserve">Iteration </t>
  </si>
  <si>
    <t>Diff</t>
  </si>
  <si>
    <t>Height</t>
  </si>
  <si>
    <t>Weight</t>
  </si>
  <si>
    <t>ID31</t>
  </si>
  <si>
    <t>ID32</t>
  </si>
  <si>
    <t>ID33</t>
  </si>
  <si>
    <t>ID34</t>
  </si>
  <si>
    <t>ID35</t>
  </si>
  <si>
    <t>ID36</t>
  </si>
  <si>
    <t>ID37</t>
  </si>
  <si>
    <t>ID38</t>
  </si>
  <si>
    <t>ID39</t>
  </si>
  <si>
    <t>ID40</t>
  </si>
  <si>
    <t>ID41</t>
  </si>
  <si>
    <t>ID42</t>
  </si>
  <si>
    <t>ID43</t>
  </si>
  <si>
    <t>ID44</t>
  </si>
  <si>
    <t>ID45</t>
  </si>
  <si>
    <t>ID46</t>
  </si>
  <si>
    <t>ID47</t>
  </si>
  <si>
    <t>ID48</t>
  </si>
  <si>
    <t>ID49</t>
  </si>
  <si>
    <t>ID50</t>
  </si>
  <si>
    <t>ID51</t>
  </si>
  <si>
    <t>ID52</t>
  </si>
  <si>
    <t>ID53</t>
  </si>
  <si>
    <t>ID54</t>
  </si>
  <si>
    <t>ID55</t>
  </si>
  <si>
    <t>ID56</t>
  </si>
  <si>
    <t>ID57</t>
  </si>
  <si>
    <t>ID58</t>
  </si>
  <si>
    <t>ID59</t>
  </si>
  <si>
    <t>ID60</t>
  </si>
  <si>
    <t>ID61</t>
  </si>
  <si>
    <t>ID62</t>
  </si>
  <si>
    <t>ID63</t>
  </si>
  <si>
    <t>ID64</t>
  </si>
  <si>
    <t>ID65</t>
  </si>
  <si>
    <t>ID66</t>
  </si>
  <si>
    <t>ID67</t>
  </si>
  <si>
    <t>ID68</t>
  </si>
  <si>
    <t>ID69</t>
  </si>
  <si>
    <t>ID70</t>
  </si>
  <si>
    <t>ID71</t>
  </si>
  <si>
    <t>ID72</t>
  </si>
  <si>
    <t>ID73</t>
  </si>
  <si>
    <t>ID74</t>
  </si>
  <si>
    <t>ID75</t>
  </si>
  <si>
    <t>ID76</t>
  </si>
  <si>
    <t>ID77</t>
  </si>
  <si>
    <t>ID78</t>
  </si>
  <si>
    <t>ID79</t>
  </si>
  <si>
    <t>ID80</t>
  </si>
  <si>
    <t>ID81</t>
  </si>
  <si>
    <t>ID82</t>
  </si>
  <si>
    <t>ID83</t>
  </si>
  <si>
    <t>ID84</t>
  </si>
  <si>
    <t>ID85</t>
  </si>
  <si>
    <t>ID86</t>
  </si>
  <si>
    <t>ID87</t>
  </si>
  <si>
    <t>ID88</t>
  </si>
  <si>
    <t>ID89</t>
  </si>
  <si>
    <t>ID90</t>
  </si>
  <si>
    <t>ID91</t>
  </si>
  <si>
    <t>ID92</t>
  </si>
  <si>
    <t>ID93</t>
  </si>
  <si>
    <t>ID94</t>
  </si>
  <si>
    <t>ID95</t>
  </si>
  <si>
    <t>ID96</t>
  </si>
  <si>
    <t>ID97</t>
  </si>
  <si>
    <t>ID98</t>
  </si>
  <si>
    <t>ID99</t>
  </si>
  <si>
    <t>ID100</t>
  </si>
  <si>
    <t>ID101</t>
  </si>
  <si>
    <t>ID102</t>
  </si>
  <si>
    <t>ID103</t>
  </si>
  <si>
    <t>ID104</t>
  </si>
  <si>
    <t>ID105</t>
  </si>
  <si>
    <t>ID106</t>
  </si>
  <si>
    <t>ID107</t>
  </si>
  <si>
    <t>ID108</t>
  </si>
  <si>
    <t>ID109</t>
  </si>
  <si>
    <t>ID110</t>
  </si>
  <si>
    <t>ID111</t>
  </si>
  <si>
    <t>ID112</t>
  </si>
  <si>
    <t>ID113</t>
  </si>
  <si>
    <t>ID114</t>
  </si>
  <si>
    <t>ID115</t>
  </si>
  <si>
    <t>ID116</t>
  </si>
  <si>
    <t>ID117</t>
  </si>
  <si>
    <t>ID118</t>
  </si>
  <si>
    <t>ID119</t>
  </si>
  <si>
    <t>ID120</t>
  </si>
  <si>
    <t>ID121</t>
  </si>
  <si>
    <t>ID122</t>
  </si>
  <si>
    <t>ID123</t>
  </si>
  <si>
    <t>ID124</t>
  </si>
  <si>
    <t>ID125</t>
  </si>
  <si>
    <t>ID126</t>
  </si>
  <si>
    <t>ID127</t>
  </si>
  <si>
    <t>ID128</t>
  </si>
  <si>
    <t>ID129</t>
  </si>
  <si>
    <t>ID130</t>
  </si>
  <si>
    <t>ID131</t>
  </si>
  <si>
    <t>ID132</t>
  </si>
  <si>
    <t>ID133</t>
  </si>
  <si>
    <t>ID134</t>
  </si>
  <si>
    <t>ID135</t>
  </si>
  <si>
    <t>ID136</t>
  </si>
  <si>
    <t>ID137</t>
  </si>
  <si>
    <t>ID138</t>
  </si>
  <si>
    <t>ID139</t>
  </si>
  <si>
    <t>ID140</t>
  </si>
  <si>
    <t>ID141</t>
  </si>
  <si>
    <t>ID142</t>
  </si>
  <si>
    <t>ID143</t>
  </si>
  <si>
    <t>ID144</t>
  </si>
  <si>
    <t>ID145</t>
  </si>
  <si>
    <t>ID146</t>
  </si>
  <si>
    <t>ID147</t>
  </si>
  <si>
    <t>ID148</t>
  </si>
  <si>
    <t>ID149</t>
  </si>
  <si>
    <t>ID150</t>
  </si>
  <si>
    <t>ID151</t>
  </si>
  <si>
    <t>ID152</t>
  </si>
  <si>
    <t>ID153</t>
  </si>
  <si>
    <t>ID154</t>
  </si>
  <si>
    <t>ID155</t>
  </si>
  <si>
    <t>ID156</t>
  </si>
  <si>
    <t>ID157</t>
  </si>
  <si>
    <t>ID158</t>
  </si>
  <si>
    <t>ID159</t>
  </si>
  <si>
    <t>ID160</t>
  </si>
  <si>
    <t>ID161</t>
  </si>
  <si>
    <t>ID162</t>
  </si>
  <si>
    <t>ID163</t>
  </si>
  <si>
    <t>ID164</t>
  </si>
  <si>
    <t>ID165</t>
  </si>
  <si>
    <t>ID166</t>
  </si>
  <si>
    <t>ID167</t>
  </si>
  <si>
    <t>ID168</t>
  </si>
  <si>
    <t>ID169</t>
  </si>
  <si>
    <t>ID170</t>
  </si>
  <si>
    <t>ID171</t>
  </si>
  <si>
    <t>ID172</t>
  </si>
  <si>
    <t>ID173</t>
  </si>
  <si>
    <t>ID174</t>
  </si>
  <si>
    <t>ID175</t>
  </si>
  <si>
    <t>ID176</t>
  </si>
  <si>
    <t>ID177</t>
  </si>
  <si>
    <t>ID178</t>
  </si>
  <si>
    <t>ID179</t>
  </si>
  <si>
    <t>ID180</t>
  </si>
  <si>
    <t>ID181</t>
  </si>
  <si>
    <t>ID182</t>
  </si>
  <si>
    <t>ID183</t>
  </si>
  <si>
    <t>ID184</t>
  </si>
  <si>
    <t>ID185</t>
  </si>
  <si>
    <t>ID186</t>
  </si>
  <si>
    <t>ID187</t>
  </si>
  <si>
    <t>ID188</t>
  </si>
  <si>
    <t>ID189</t>
  </si>
  <si>
    <t>ID190</t>
  </si>
  <si>
    <t>ID191</t>
  </si>
  <si>
    <t>ID192</t>
  </si>
  <si>
    <t>ID193</t>
  </si>
  <si>
    <t>ID194</t>
  </si>
  <si>
    <t>ID195</t>
  </si>
  <si>
    <t>ID196</t>
  </si>
  <si>
    <t>ID197</t>
  </si>
  <si>
    <t>ID198</t>
  </si>
  <si>
    <t>ID199</t>
  </si>
  <si>
    <t>ID200</t>
  </si>
  <si>
    <t>ID201</t>
  </si>
  <si>
    <t>ID202</t>
  </si>
  <si>
    <t>ID203</t>
  </si>
  <si>
    <t>ID204</t>
  </si>
  <si>
    <t>ID205</t>
  </si>
  <si>
    <t>ID206</t>
  </si>
  <si>
    <t>ID207</t>
  </si>
  <si>
    <t>ID208</t>
  </si>
  <si>
    <t>ID209</t>
  </si>
  <si>
    <t>ID210</t>
  </si>
  <si>
    <t>ID211</t>
  </si>
  <si>
    <t>ID212</t>
  </si>
  <si>
    <t>ID213</t>
  </si>
  <si>
    <t>ID214</t>
  </si>
  <si>
    <t>ID215</t>
  </si>
  <si>
    <t>ID216</t>
  </si>
  <si>
    <t>ID217</t>
  </si>
  <si>
    <t>ID218</t>
  </si>
  <si>
    <t>ID219</t>
  </si>
  <si>
    <t>ID220</t>
  </si>
  <si>
    <t>ID221</t>
  </si>
  <si>
    <t>ID222</t>
  </si>
  <si>
    <t>ID223</t>
  </si>
  <si>
    <t>ID224</t>
  </si>
  <si>
    <t>ID225</t>
  </si>
  <si>
    <t>ID226</t>
  </si>
  <si>
    <t>ID227</t>
  </si>
  <si>
    <t>ID228</t>
  </si>
  <si>
    <t>ID229</t>
  </si>
  <si>
    <t>ID230</t>
  </si>
  <si>
    <t>ID231</t>
  </si>
  <si>
    <t>ID232</t>
  </si>
  <si>
    <t>ID233</t>
  </si>
  <si>
    <t>ID234</t>
  </si>
  <si>
    <t>ID235</t>
  </si>
  <si>
    <t>ID236</t>
  </si>
  <si>
    <t>ID237</t>
  </si>
  <si>
    <t>ID238</t>
  </si>
  <si>
    <t>ID239</t>
  </si>
  <si>
    <t>ID240</t>
  </si>
  <si>
    <t>ID241</t>
  </si>
  <si>
    <t>ID242</t>
  </si>
  <si>
    <t>ID243</t>
  </si>
  <si>
    <t>ID244</t>
  </si>
  <si>
    <t>ID245</t>
  </si>
  <si>
    <t>ID246</t>
  </si>
  <si>
    <t>ID247</t>
  </si>
  <si>
    <t>ID248</t>
  </si>
  <si>
    <t>ID249</t>
  </si>
  <si>
    <t>ID250</t>
  </si>
  <si>
    <t>ID251</t>
  </si>
  <si>
    <t>ID252</t>
  </si>
  <si>
    <t>ID253</t>
  </si>
  <si>
    <t>ID254</t>
  </si>
  <si>
    <t>ID255</t>
  </si>
  <si>
    <t>ID256</t>
  </si>
  <si>
    <t>ID257</t>
  </si>
  <si>
    <t>ID258</t>
  </si>
  <si>
    <t>ID259</t>
  </si>
  <si>
    <t>ID260</t>
  </si>
  <si>
    <t>ID261</t>
  </si>
  <si>
    <t>ID262</t>
  </si>
  <si>
    <t>ID263</t>
  </si>
  <si>
    <t>ID264</t>
  </si>
  <si>
    <t>ID265</t>
  </si>
  <si>
    <t>ID266</t>
  </si>
  <si>
    <t>ID267</t>
  </si>
  <si>
    <t>ID268</t>
  </si>
  <si>
    <t>ID269</t>
  </si>
  <si>
    <t>ID270</t>
  </si>
  <si>
    <t>ID271</t>
  </si>
  <si>
    <t>ID272</t>
  </si>
  <si>
    <t>ID273</t>
  </si>
  <si>
    <t>ID274</t>
  </si>
  <si>
    <t>ID275</t>
  </si>
  <si>
    <t>ID276</t>
  </si>
  <si>
    <t>ID277</t>
  </si>
  <si>
    <t>ID278</t>
  </si>
  <si>
    <t>ID279</t>
  </si>
  <si>
    <t>ID280</t>
  </si>
  <si>
    <t>ID281</t>
  </si>
  <si>
    <t>ID282</t>
  </si>
  <si>
    <t>ID283</t>
  </si>
  <si>
    <t>ID284</t>
  </si>
  <si>
    <t>ID285</t>
  </si>
  <si>
    <t>ID286</t>
  </si>
  <si>
    <t>ID287</t>
  </si>
  <si>
    <t>ID288</t>
  </si>
  <si>
    <t>ID289</t>
  </si>
  <si>
    <t>ID290</t>
  </si>
  <si>
    <t>ID291</t>
  </si>
  <si>
    <t>ID292</t>
  </si>
  <si>
    <t>ID293</t>
  </si>
  <si>
    <t>ID294</t>
  </si>
  <si>
    <t>ID295</t>
  </si>
  <si>
    <t>ID296</t>
  </si>
  <si>
    <t>ID297</t>
  </si>
  <si>
    <t>ID298</t>
  </si>
  <si>
    <t>ID299</t>
  </si>
  <si>
    <t>ID300</t>
  </si>
  <si>
    <t>ID301</t>
  </si>
  <si>
    <t>ID302</t>
  </si>
  <si>
    <t>ID303</t>
  </si>
  <si>
    <t>ID304</t>
  </si>
  <si>
    <t>ID305</t>
  </si>
  <si>
    <t>ID306</t>
  </si>
  <si>
    <t>ID307</t>
  </si>
  <si>
    <t>ID308</t>
  </si>
  <si>
    <t>ID309</t>
  </si>
  <si>
    <t>ID310</t>
  </si>
  <si>
    <t>ID311</t>
  </si>
  <si>
    <t>ID312</t>
  </si>
  <si>
    <t>ID313</t>
  </si>
  <si>
    <t>ID314</t>
  </si>
  <si>
    <t>ID315</t>
  </si>
  <si>
    <t>ID316</t>
  </si>
  <si>
    <t>ID317</t>
  </si>
  <si>
    <t>ID318</t>
  </si>
  <si>
    <t>ID319</t>
  </si>
  <si>
    <t>ID320</t>
  </si>
  <si>
    <t>ID321</t>
  </si>
  <si>
    <t>ID322</t>
  </si>
  <si>
    <t>ID323</t>
  </si>
  <si>
    <t>ID324</t>
  </si>
  <si>
    <t>ID325</t>
  </si>
  <si>
    <t>ID326</t>
  </si>
  <si>
    <t>ID327</t>
  </si>
  <si>
    <t>ID328</t>
  </si>
  <si>
    <t>ID329</t>
  </si>
  <si>
    <t>ID330</t>
  </si>
  <si>
    <t>ID331</t>
  </si>
  <si>
    <t>ID332</t>
  </si>
  <si>
    <t>ID333</t>
  </si>
  <si>
    <t>ID334</t>
  </si>
  <si>
    <t>ID335</t>
  </si>
  <si>
    <t>ID336</t>
  </si>
  <si>
    <t>ID337</t>
  </si>
  <si>
    <t>ID338</t>
  </si>
  <si>
    <t>ID339</t>
  </si>
  <si>
    <t>ID340</t>
  </si>
  <si>
    <t>ID341</t>
  </si>
  <si>
    <t>ID342</t>
  </si>
  <si>
    <t>ID343</t>
  </si>
  <si>
    <t>ID344</t>
  </si>
  <si>
    <t>ID345</t>
  </si>
  <si>
    <t>ID346</t>
  </si>
  <si>
    <t>ID347</t>
  </si>
  <si>
    <t>ID348</t>
  </si>
  <si>
    <t>ID349</t>
  </si>
  <si>
    <t>ID350</t>
  </si>
  <si>
    <t>ID351</t>
  </si>
  <si>
    <t>ID352</t>
  </si>
  <si>
    <t>ID353</t>
  </si>
  <si>
    <t>ID354</t>
  </si>
  <si>
    <t>ID355</t>
  </si>
  <si>
    <t>ID356</t>
  </si>
  <si>
    <t>ID357</t>
  </si>
  <si>
    <t>ID358</t>
  </si>
  <si>
    <t>ID359</t>
  </si>
  <si>
    <t>ID360</t>
  </si>
  <si>
    <t>ID361</t>
  </si>
  <si>
    <t>ID362</t>
  </si>
  <si>
    <t>ID363</t>
  </si>
  <si>
    <t>ID364</t>
  </si>
  <si>
    <t>ID365</t>
  </si>
  <si>
    <t>ID366</t>
  </si>
  <si>
    <t>ID367</t>
  </si>
  <si>
    <t>ID368</t>
  </si>
  <si>
    <t>ID369</t>
  </si>
  <si>
    <t>ID370</t>
  </si>
  <si>
    <t>ID371</t>
  </si>
  <si>
    <t>ID372</t>
  </si>
  <si>
    <t>ID373</t>
  </si>
  <si>
    <t>ID374</t>
  </si>
  <si>
    <t>ID375</t>
  </si>
  <si>
    <t>ID376</t>
  </si>
  <si>
    <t>ID377</t>
  </si>
  <si>
    <t>ID378</t>
  </si>
  <si>
    <t>ID379</t>
  </si>
  <si>
    <t>ID380</t>
  </si>
  <si>
    <t>ID381</t>
  </si>
  <si>
    <t>ID382</t>
  </si>
  <si>
    <t>ID383</t>
  </si>
  <si>
    <t>ID384</t>
  </si>
  <si>
    <t>ID385</t>
  </si>
  <si>
    <t>ID386</t>
  </si>
  <si>
    <t>ID387</t>
  </si>
  <si>
    <t>ID388</t>
  </si>
  <si>
    <t>ID389</t>
  </si>
  <si>
    <t>ID390</t>
  </si>
  <si>
    <t>ID391</t>
  </si>
  <si>
    <t>ID392</t>
  </si>
  <si>
    <t>ID393</t>
  </si>
  <si>
    <t>ID394</t>
  </si>
  <si>
    <t>ID395</t>
  </si>
  <si>
    <t>ID396</t>
  </si>
  <si>
    <t>ID397</t>
  </si>
  <si>
    <t>ID398</t>
  </si>
  <si>
    <t>ID399</t>
  </si>
  <si>
    <t>ID400</t>
  </si>
  <si>
    <t>ID401</t>
  </si>
  <si>
    <t>ID402</t>
  </si>
  <si>
    <t>ID403</t>
  </si>
  <si>
    <t>ID404</t>
  </si>
  <si>
    <t>ID405</t>
  </si>
  <si>
    <t>ID406</t>
  </si>
  <si>
    <t>ID407</t>
  </si>
  <si>
    <t>ID408</t>
  </si>
  <si>
    <t>ID409</t>
  </si>
  <si>
    <t>ID410</t>
  </si>
  <si>
    <t>ID411</t>
  </si>
  <si>
    <t>ID412</t>
  </si>
  <si>
    <t>ID413</t>
  </si>
  <si>
    <t>ID414</t>
  </si>
  <si>
    <t>ID415</t>
  </si>
  <si>
    <t>ID416</t>
  </si>
  <si>
    <t>ID417</t>
  </si>
  <si>
    <t>ID418</t>
  </si>
  <si>
    <t>ID419</t>
  </si>
  <si>
    <t>ID420</t>
  </si>
  <si>
    <t>ID421</t>
  </si>
  <si>
    <t>ID422</t>
  </si>
  <si>
    <t>ID423</t>
  </si>
  <si>
    <t>ID424</t>
  </si>
  <si>
    <t>ID425</t>
  </si>
  <si>
    <t>ID426</t>
  </si>
  <si>
    <t>ID427</t>
  </si>
  <si>
    <t>ID428</t>
  </si>
  <si>
    <t>ID429</t>
  </si>
  <si>
    <t>ID430</t>
  </si>
  <si>
    <t>ID431</t>
  </si>
  <si>
    <t>ID432</t>
  </si>
  <si>
    <t>ID433</t>
  </si>
  <si>
    <t>ID434</t>
  </si>
  <si>
    <t>ID435</t>
  </si>
  <si>
    <t>ID436</t>
  </si>
  <si>
    <t>ID437</t>
  </si>
  <si>
    <t>ID438</t>
  </si>
  <si>
    <t>ID439</t>
  </si>
  <si>
    <t>ID440</t>
  </si>
  <si>
    <t>ID441</t>
  </si>
  <si>
    <t>ID442</t>
  </si>
  <si>
    <t>ID443</t>
  </si>
  <si>
    <t>ID444</t>
  </si>
  <si>
    <t>ID445</t>
  </si>
  <si>
    <t>ID446</t>
  </si>
  <si>
    <t>ID447</t>
  </si>
  <si>
    <t>ID448</t>
  </si>
  <si>
    <t>ID449</t>
  </si>
  <si>
    <t>ID450</t>
  </si>
  <si>
    <t>ID451</t>
  </si>
  <si>
    <t>ID452</t>
  </si>
  <si>
    <t>ID453</t>
  </si>
  <si>
    <t>ID454</t>
  </si>
  <si>
    <t>ID455</t>
  </si>
  <si>
    <t>ID456</t>
  </si>
  <si>
    <t>ID457</t>
  </si>
  <si>
    <t>ID458</t>
  </si>
  <si>
    <t>ID459</t>
  </si>
  <si>
    <t>ID460</t>
  </si>
  <si>
    <t>ID461</t>
  </si>
  <si>
    <t>ID462</t>
  </si>
  <si>
    <t>ID463</t>
  </si>
  <si>
    <t>ID464</t>
  </si>
  <si>
    <t>ID465</t>
  </si>
  <si>
    <t>ID466</t>
  </si>
  <si>
    <t>ID467</t>
  </si>
  <si>
    <t>ID468</t>
  </si>
  <si>
    <t>ID469</t>
  </si>
  <si>
    <t>ID470</t>
  </si>
  <si>
    <t>ID471</t>
  </si>
  <si>
    <t>ID472</t>
  </si>
  <si>
    <t>ID473</t>
  </si>
  <si>
    <t>ID474</t>
  </si>
  <si>
    <t>ID475</t>
  </si>
  <si>
    <t>ID476</t>
  </si>
  <si>
    <t>ID477</t>
  </si>
  <si>
    <t>ID478</t>
  </si>
  <si>
    <t>ID479</t>
  </si>
  <si>
    <t>ID480</t>
  </si>
  <si>
    <t>ID481</t>
  </si>
  <si>
    <t>ID482</t>
  </si>
  <si>
    <t>ID483</t>
  </si>
  <si>
    <t>ID484</t>
  </si>
  <si>
    <t>ID485</t>
  </si>
  <si>
    <t>ID486</t>
  </si>
  <si>
    <t>ID487</t>
  </si>
  <si>
    <t>ID488</t>
  </si>
  <si>
    <t>ID489</t>
  </si>
  <si>
    <t>ID490</t>
  </si>
  <si>
    <t>ID491</t>
  </si>
  <si>
    <t>ID492</t>
  </si>
  <si>
    <t>ID493</t>
  </si>
  <si>
    <t>ID494</t>
  </si>
  <si>
    <t>ID495</t>
  </si>
  <si>
    <t>ID496</t>
  </si>
  <si>
    <t>ID497</t>
  </si>
  <si>
    <t>ID498</t>
  </si>
  <si>
    <t>ID499</t>
  </si>
  <si>
    <t>ID500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</si>
</sst>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" x14ac:knownFonts="1"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0" xfId="0" applyFill="1"/>
    <xf numFmtId="0" fontId="0" fillId="2" borderId="1" xfId="0" applyFill="1" applyBorder="1"/>
    <xf numFmtId="0" fontId="0" fillId="3" borderId="1" xfId="0" applyFill="1" applyBorder="1" applyAlignment="1">
      <alignment horizontal="center" vertical="center"/>
    </xf>
    <xf numFmtId="164" fontId="0" fillId="2" borderId="1" xfId="0" applyNumberFormat="1" applyFill="1" applyBorder="1"/>
    <xf numFmtId="0" fontId="0" fillId="4" borderId="1" xfId="0" applyFill="1" applyBorder="1"/>
    <xf numFmtId="164" fontId="0" fillId="4" borderId="1" xfId="0" applyNumberFormat="1" applyFill="1" applyBorder="1"/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025371828521434E-2"/>
          <c:y val="0.12037037037037036"/>
          <c:w val="0.89019685039370078"/>
          <c:h val="0.75834135316418783"/>
        </c:manualLayout>
      </c:layout>
      <c:scatterChart>
        <c:scatterStyle val="lineMarker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Height</c:v>
                </c:pt>
              </c:strCache>
            </c:strRef>
          </c:tx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Sheet2!$B$2:$B$501</c:f>
              <c:numCache>
                <c:formatCode>General</c:formatCode>
                <c:ptCount val="500"/>
                <c:pt idx="0">
                  <c:v>87</c:v>
                </c:pt>
                <c:pt idx="1">
                  <c:v>118</c:v>
                </c:pt>
                <c:pt idx="2">
                  <c:v>26</c:v>
                </c:pt>
                <c:pt idx="3">
                  <c:v>145</c:v>
                </c:pt>
                <c:pt idx="4">
                  <c:v>104</c:v>
                </c:pt>
                <c:pt idx="5">
                  <c:v>136</c:v>
                </c:pt>
                <c:pt idx="6">
                  <c:v>141</c:v>
                </c:pt>
                <c:pt idx="7">
                  <c:v>80</c:v>
                </c:pt>
                <c:pt idx="8">
                  <c:v>73</c:v>
                </c:pt>
                <c:pt idx="9">
                  <c:v>73</c:v>
                </c:pt>
                <c:pt idx="10">
                  <c:v>43</c:v>
                </c:pt>
                <c:pt idx="11">
                  <c:v>118</c:v>
                </c:pt>
                <c:pt idx="12">
                  <c:v>87</c:v>
                </c:pt>
                <c:pt idx="13">
                  <c:v>56</c:v>
                </c:pt>
                <c:pt idx="14">
                  <c:v>103</c:v>
                </c:pt>
                <c:pt idx="15">
                  <c:v>119</c:v>
                </c:pt>
                <c:pt idx="16">
                  <c:v>143</c:v>
                </c:pt>
                <c:pt idx="17">
                  <c:v>65</c:v>
                </c:pt>
                <c:pt idx="18">
                  <c:v>4</c:v>
                </c:pt>
                <c:pt idx="19">
                  <c:v>25</c:v>
                </c:pt>
                <c:pt idx="20">
                  <c:v>46</c:v>
                </c:pt>
                <c:pt idx="21">
                  <c:v>73</c:v>
                </c:pt>
                <c:pt idx="22">
                  <c:v>84</c:v>
                </c:pt>
                <c:pt idx="23">
                  <c:v>18</c:v>
                </c:pt>
                <c:pt idx="24">
                  <c:v>96</c:v>
                </c:pt>
                <c:pt idx="25">
                  <c:v>118</c:v>
                </c:pt>
                <c:pt idx="26">
                  <c:v>112</c:v>
                </c:pt>
                <c:pt idx="27">
                  <c:v>104</c:v>
                </c:pt>
                <c:pt idx="28">
                  <c:v>110</c:v>
                </c:pt>
                <c:pt idx="29">
                  <c:v>115</c:v>
                </c:pt>
                <c:pt idx="30">
                  <c:v>57</c:v>
                </c:pt>
                <c:pt idx="31">
                  <c:v>5</c:v>
                </c:pt>
                <c:pt idx="32">
                  <c:v>72</c:v>
                </c:pt>
                <c:pt idx="33">
                  <c:v>71</c:v>
                </c:pt>
                <c:pt idx="34">
                  <c:v>130</c:v>
                </c:pt>
                <c:pt idx="35">
                  <c:v>51</c:v>
                </c:pt>
                <c:pt idx="36">
                  <c:v>23</c:v>
                </c:pt>
                <c:pt idx="37">
                  <c:v>30</c:v>
                </c:pt>
                <c:pt idx="38">
                  <c:v>38</c:v>
                </c:pt>
                <c:pt idx="39">
                  <c:v>89</c:v>
                </c:pt>
                <c:pt idx="40">
                  <c:v>31</c:v>
                </c:pt>
                <c:pt idx="41">
                  <c:v>118</c:v>
                </c:pt>
                <c:pt idx="42">
                  <c:v>92</c:v>
                </c:pt>
                <c:pt idx="43">
                  <c:v>142</c:v>
                </c:pt>
                <c:pt idx="44">
                  <c:v>121</c:v>
                </c:pt>
                <c:pt idx="45">
                  <c:v>120</c:v>
                </c:pt>
                <c:pt idx="46">
                  <c:v>59</c:v>
                </c:pt>
                <c:pt idx="47">
                  <c:v>43</c:v>
                </c:pt>
                <c:pt idx="48">
                  <c:v>27</c:v>
                </c:pt>
                <c:pt idx="49">
                  <c:v>99</c:v>
                </c:pt>
                <c:pt idx="50">
                  <c:v>12</c:v>
                </c:pt>
                <c:pt idx="51">
                  <c:v>49</c:v>
                </c:pt>
                <c:pt idx="52">
                  <c:v>72</c:v>
                </c:pt>
                <c:pt idx="53">
                  <c:v>1</c:v>
                </c:pt>
                <c:pt idx="54">
                  <c:v>107</c:v>
                </c:pt>
                <c:pt idx="55">
                  <c:v>75</c:v>
                </c:pt>
                <c:pt idx="56">
                  <c:v>32</c:v>
                </c:pt>
                <c:pt idx="57">
                  <c:v>143</c:v>
                </c:pt>
                <c:pt idx="58">
                  <c:v>18</c:v>
                </c:pt>
                <c:pt idx="59">
                  <c:v>138</c:v>
                </c:pt>
                <c:pt idx="60">
                  <c:v>56</c:v>
                </c:pt>
                <c:pt idx="61">
                  <c:v>145</c:v>
                </c:pt>
                <c:pt idx="62">
                  <c:v>145</c:v>
                </c:pt>
                <c:pt idx="63">
                  <c:v>3</c:v>
                </c:pt>
                <c:pt idx="64">
                  <c:v>120</c:v>
                </c:pt>
                <c:pt idx="65">
                  <c:v>114</c:v>
                </c:pt>
                <c:pt idx="66">
                  <c:v>66</c:v>
                </c:pt>
                <c:pt idx="67">
                  <c:v>15</c:v>
                </c:pt>
                <c:pt idx="68">
                  <c:v>16</c:v>
                </c:pt>
                <c:pt idx="69">
                  <c:v>101</c:v>
                </c:pt>
                <c:pt idx="70">
                  <c:v>96</c:v>
                </c:pt>
                <c:pt idx="71">
                  <c:v>105</c:v>
                </c:pt>
                <c:pt idx="72">
                  <c:v>92</c:v>
                </c:pt>
                <c:pt idx="73">
                  <c:v>30</c:v>
                </c:pt>
                <c:pt idx="74">
                  <c:v>86</c:v>
                </c:pt>
                <c:pt idx="75">
                  <c:v>14</c:v>
                </c:pt>
                <c:pt idx="76">
                  <c:v>37</c:v>
                </c:pt>
                <c:pt idx="77">
                  <c:v>44</c:v>
                </c:pt>
                <c:pt idx="78">
                  <c:v>84</c:v>
                </c:pt>
                <c:pt idx="79">
                  <c:v>133</c:v>
                </c:pt>
                <c:pt idx="80">
                  <c:v>146</c:v>
                </c:pt>
                <c:pt idx="81">
                  <c:v>126</c:v>
                </c:pt>
                <c:pt idx="82">
                  <c:v>37</c:v>
                </c:pt>
                <c:pt idx="83">
                  <c:v>150</c:v>
                </c:pt>
                <c:pt idx="84">
                  <c:v>70</c:v>
                </c:pt>
                <c:pt idx="85">
                  <c:v>99</c:v>
                </c:pt>
                <c:pt idx="86">
                  <c:v>132</c:v>
                </c:pt>
                <c:pt idx="87">
                  <c:v>52</c:v>
                </c:pt>
                <c:pt idx="88">
                  <c:v>31</c:v>
                </c:pt>
                <c:pt idx="89">
                  <c:v>73</c:v>
                </c:pt>
                <c:pt idx="90">
                  <c:v>63</c:v>
                </c:pt>
                <c:pt idx="91">
                  <c:v>128</c:v>
                </c:pt>
                <c:pt idx="92">
                  <c:v>49</c:v>
                </c:pt>
                <c:pt idx="93">
                  <c:v>48</c:v>
                </c:pt>
                <c:pt idx="94">
                  <c:v>54</c:v>
                </c:pt>
                <c:pt idx="95">
                  <c:v>142</c:v>
                </c:pt>
                <c:pt idx="96">
                  <c:v>6</c:v>
                </c:pt>
                <c:pt idx="97">
                  <c:v>10</c:v>
                </c:pt>
                <c:pt idx="98">
                  <c:v>50</c:v>
                </c:pt>
                <c:pt idx="99">
                  <c:v>115</c:v>
                </c:pt>
                <c:pt idx="100">
                  <c:v>67</c:v>
                </c:pt>
                <c:pt idx="101">
                  <c:v>111</c:v>
                </c:pt>
                <c:pt idx="102">
                  <c:v>87</c:v>
                </c:pt>
                <c:pt idx="103">
                  <c:v>66</c:v>
                </c:pt>
                <c:pt idx="104">
                  <c:v>94</c:v>
                </c:pt>
                <c:pt idx="105">
                  <c:v>27</c:v>
                </c:pt>
                <c:pt idx="106">
                  <c:v>83</c:v>
                </c:pt>
                <c:pt idx="107">
                  <c:v>103</c:v>
                </c:pt>
                <c:pt idx="108">
                  <c:v>83</c:v>
                </c:pt>
                <c:pt idx="109">
                  <c:v>42</c:v>
                </c:pt>
                <c:pt idx="110">
                  <c:v>30</c:v>
                </c:pt>
                <c:pt idx="111">
                  <c:v>127</c:v>
                </c:pt>
                <c:pt idx="112">
                  <c:v>132</c:v>
                </c:pt>
                <c:pt idx="113">
                  <c:v>75</c:v>
                </c:pt>
                <c:pt idx="114">
                  <c:v>55</c:v>
                </c:pt>
                <c:pt idx="115">
                  <c:v>41</c:v>
                </c:pt>
                <c:pt idx="116">
                  <c:v>11</c:v>
                </c:pt>
                <c:pt idx="117">
                  <c:v>111</c:v>
                </c:pt>
                <c:pt idx="118">
                  <c:v>51</c:v>
                </c:pt>
                <c:pt idx="119">
                  <c:v>92</c:v>
                </c:pt>
                <c:pt idx="120">
                  <c:v>1</c:v>
                </c:pt>
                <c:pt idx="121">
                  <c:v>42</c:v>
                </c:pt>
                <c:pt idx="122">
                  <c:v>110</c:v>
                </c:pt>
                <c:pt idx="123">
                  <c:v>46</c:v>
                </c:pt>
                <c:pt idx="124">
                  <c:v>143</c:v>
                </c:pt>
                <c:pt idx="125">
                  <c:v>31</c:v>
                </c:pt>
                <c:pt idx="126">
                  <c:v>3</c:v>
                </c:pt>
                <c:pt idx="127">
                  <c:v>109</c:v>
                </c:pt>
                <c:pt idx="128">
                  <c:v>142</c:v>
                </c:pt>
                <c:pt idx="129">
                  <c:v>139</c:v>
                </c:pt>
                <c:pt idx="130">
                  <c:v>31</c:v>
                </c:pt>
                <c:pt idx="131">
                  <c:v>2</c:v>
                </c:pt>
                <c:pt idx="132">
                  <c:v>77</c:v>
                </c:pt>
                <c:pt idx="133">
                  <c:v>65</c:v>
                </c:pt>
                <c:pt idx="134">
                  <c:v>17</c:v>
                </c:pt>
                <c:pt idx="135">
                  <c:v>80</c:v>
                </c:pt>
                <c:pt idx="136">
                  <c:v>74</c:v>
                </c:pt>
                <c:pt idx="137">
                  <c:v>64</c:v>
                </c:pt>
                <c:pt idx="138">
                  <c:v>144</c:v>
                </c:pt>
                <c:pt idx="139">
                  <c:v>22</c:v>
                </c:pt>
                <c:pt idx="140">
                  <c:v>105</c:v>
                </c:pt>
                <c:pt idx="141">
                  <c:v>93</c:v>
                </c:pt>
                <c:pt idx="142">
                  <c:v>38</c:v>
                </c:pt>
                <c:pt idx="143">
                  <c:v>147</c:v>
                </c:pt>
                <c:pt idx="144">
                  <c:v>83</c:v>
                </c:pt>
                <c:pt idx="145">
                  <c:v>7</c:v>
                </c:pt>
                <c:pt idx="146">
                  <c:v>160</c:v>
                </c:pt>
                <c:pt idx="147">
                  <c:v>105</c:v>
                </c:pt>
                <c:pt idx="148">
                  <c:v>172</c:v>
                </c:pt>
                <c:pt idx="149">
                  <c:v>242</c:v>
                </c:pt>
                <c:pt idx="150">
                  <c:v>153</c:v>
                </c:pt>
                <c:pt idx="151">
                  <c:v>161</c:v>
                </c:pt>
                <c:pt idx="152">
                  <c:v>219</c:v>
                </c:pt>
                <c:pt idx="153">
                  <c:v>154</c:v>
                </c:pt>
                <c:pt idx="154">
                  <c:v>211</c:v>
                </c:pt>
                <c:pt idx="155">
                  <c:v>160</c:v>
                </c:pt>
                <c:pt idx="156">
                  <c:v>128</c:v>
                </c:pt>
                <c:pt idx="157">
                  <c:v>229</c:v>
                </c:pt>
                <c:pt idx="158">
                  <c:v>211</c:v>
                </c:pt>
                <c:pt idx="159">
                  <c:v>224</c:v>
                </c:pt>
                <c:pt idx="160">
                  <c:v>198</c:v>
                </c:pt>
                <c:pt idx="161">
                  <c:v>205</c:v>
                </c:pt>
                <c:pt idx="162">
                  <c:v>112</c:v>
                </c:pt>
                <c:pt idx="163">
                  <c:v>150</c:v>
                </c:pt>
                <c:pt idx="164">
                  <c:v>113</c:v>
                </c:pt>
                <c:pt idx="165">
                  <c:v>226</c:v>
                </c:pt>
                <c:pt idx="166">
                  <c:v>116</c:v>
                </c:pt>
                <c:pt idx="167">
                  <c:v>170</c:v>
                </c:pt>
                <c:pt idx="168">
                  <c:v>99</c:v>
                </c:pt>
                <c:pt idx="169">
                  <c:v>104</c:v>
                </c:pt>
                <c:pt idx="170">
                  <c:v>135</c:v>
                </c:pt>
                <c:pt idx="171">
                  <c:v>151</c:v>
                </c:pt>
                <c:pt idx="172">
                  <c:v>137</c:v>
                </c:pt>
                <c:pt idx="173">
                  <c:v>217</c:v>
                </c:pt>
                <c:pt idx="174">
                  <c:v>92</c:v>
                </c:pt>
                <c:pt idx="175">
                  <c:v>235</c:v>
                </c:pt>
                <c:pt idx="176">
                  <c:v>181</c:v>
                </c:pt>
                <c:pt idx="177">
                  <c:v>169</c:v>
                </c:pt>
                <c:pt idx="178">
                  <c:v>200</c:v>
                </c:pt>
                <c:pt idx="179">
                  <c:v>139</c:v>
                </c:pt>
                <c:pt idx="180">
                  <c:v>98</c:v>
                </c:pt>
                <c:pt idx="181">
                  <c:v>198</c:v>
                </c:pt>
                <c:pt idx="182">
                  <c:v>179</c:v>
                </c:pt>
                <c:pt idx="183">
                  <c:v>244</c:v>
                </c:pt>
                <c:pt idx="184">
                  <c:v>197</c:v>
                </c:pt>
                <c:pt idx="185">
                  <c:v>153</c:v>
                </c:pt>
                <c:pt idx="186">
                  <c:v>244</c:v>
                </c:pt>
                <c:pt idx="187">
                  <c:v>89</c:v>
                </c:pt>
                <c:pt idx="188">
                  <c:v>111</c:v>
                </c:pt>
                <c:pt idx="189">
                  <c:v>113</c:v>
                </c:pt>
                <c:pt idx="190">
                  <c:v>146</c:v>
                </c:pt>
                <c:pt idx="191">
                  <c:v>138</c:v>
                </c:pt>
                <c:pt idx="192">
                  <c:v>225</c:v>
                </c:pt>
                <c:pt idx="193">
                  <c:v>229</c:v>
                </c:pt>
                <c:pt idx="194">
                  <c:v>150</c:v>
                </c:pt>
                <c:pt idx="195">
                  <c:v>210</c:v>
                </c:pt>
                <c:pt idx="196">
                  <c:v>238</c:v>
                </c:pt>
                <c:pt idx="197">
                  <c:v>149</c:v>
                </c:pt>
                <c:pt idx="198">
                  <c:v>151</c:v>
                </c:pt>
                <c:pt idx="199">
                  <c:v>99</c:v>
                </c:pt>
                <c:pt idx="200">
                  <c:v>112</c:v>
                </c:pt>
                <c:pt idx="201">
                  <c:v>96</c:v>
                </c:pt>
                <c:pt idx="202">
                  <c:v>247</c:v>
                </c:pt>
                <c:pt idx="203">
                  <c:v>197</c:v>
                </c:pt>
                <c:pt idx="204">
                  <c:v>222</c:v>
                </c:pt>
                <c:pt idx="205">
                  <c:v>161</c:v>
                </c:pt>
                <c:pt idx="206">
                  <c:v>192</c:v>
                </c:pt>
                <c:pt idx="207">
                  <c:v>196</c:v>
                </c:pt>
                <c:pt idx="208">
                  <c:v>228</c:v>
                </c:pt>
                <c:pt idx="209">
                  <c:v>129</c:v>
                </c:pt>
                <c:pt idx="210">
                  <c:v>172</c:v>
                </c:pt>
                <c:pt idx="211">
                  <c:v>171</c:v>
                </c:pt>
                <c:pt idx="212">
                  <c:v>202</c:v>
                </c:pt>
                <c:pt idx="213">
                  <c:v>106</c:v>
                </c:pt>
                <c:pt idx="214">
                  <c:v>221</c:v>
                </c:pt>
                <c:pt idx="215">
                  <c:v>182</c:v>
                </c:pt>
                <c:pt idx="216">
                  <c:v>226</c:v>
                </c:pt>
                <c:pt idx="217">
                  <c:v>230</c:v>
                </c:pt>
                <c:pt idx="218">
                  <c:v>242</c:v>
                </c:pt>
                <c:pt idx="219">
                  <c:v>127</c:v>
                </c:pt>
                <c:pt idx="220">
                  <c:v>172</c:v>
                </c:pt>
                <c:pt idx="221">
                  <c:v>243</c:v>
                </c:pt>
                <c:pt idx="222">
                  <c:v>111</c:v>
                </c:pt>
                <c:pt idx="223">
                  <c:v>149</c:v>
                </c:pt>
                <c:pt idx="224">
                  <c:v>216</c:v>
                </c:pt>
                <c:pt idx="225">
                  <c:v>202</c:v>
                </c:pt>
                <c:pt idx="226">
                  <c:v>191</c:v>
                </c:pt>
                <c:pt idx="227">
                  <c:v>218</c:v>
                </c:pt>
                <c:pt idx="228">
                  <c:v>189</c:v>
                </c:pt>
                <c:pt idx="229">
                  <c:v>137</c:v>
                </c:pt>
                <c:pt idx="230">
                  <c:v>248</c:v>
                </c:pt>
                <c:pt idx="231">
                  <c:v>227</c:v>
                </c:pt>
                <c:pt idx="232">
                  <c:v>151</c:v>
                </c:pt>
                <c:pt idx="233">
                  <c:v>205</c:v>
                </c:pt>
                <c:pt idx="234">
                  <c:v>237</c:v>
                </c:pt>
                <c:pt idx="235">
                  <c:v>116</c:v>
                </c:pt>
                <c:pt idx="236">
                  <c:v>87</c:v>
                </c:pt>
                <c:pt idx="237">
                  <c:v>170</c:v>
                </c:pt>
                <c:pt idx="238">
                  <c:v>189</c:v>
                </c:pt>
                <c:pt idx="239">
                  <c:v>173</c:v>
                </c:pt>
                <c:pt idx="240">
                  <c:v>180</c:v>
                </c:pt>
                <c:pt idx="241">
                  <c:v>161</c:v>
                </c:pt>
                <c:pt idx="242">
                  <c:v>126</c:v>
                </c:pt>
                <c:pt idx="243">
                  <c:v>159</c:v>
                </c:pt>
                <c:pt idx="244">
                  <c:v>247</c:v>
                </c:pt>
                <c:pt idx="245">
                  <c:v>215</c:v>
                </c:pt>
                <c:pt idx="246">
                  <c:v>227</c:v>
                </c:pt>
                <c:pt idx="247">
                  <c:v>216</c:v>
                </c:pt>
                <c:pt idx="248">
                  <c:v>217</c:v>
                </c:pt>
                <c:pt idx="249">
                  <c:v>244</c:v>
                </c:pt>
                <c:pt idx="250">
                  <c:v>141</c:v>
                </c:pt>
                <c:pt idx="251">
                  <c:v>100</c:v>
                </c:pt>
                <c:pt idx="252">
                  <c:v>206</c:v>
                </c:pt>
                <c:pt idx="253">
                  <c:v>100</c:v>
                </c:pt>
                <c:pt idx="254">
                  <c:v>234</c:v>
                </c:pt>
                <c:pt idx="255">
                  <c:v>155</c:v>
                </c:pt>
                <c:pt idx="256">
                  <c:v>180</c:v>
                </c:pt>
                <c:pt idx="257">
                  <c:v>143</c:v>
                </c:pt>
                <c:pt idx="258">
                  <c:v>231</c:v>
                </c:pt>
                <c:pt idx="259">
                  <c:v>170</c:v>
                </c:pt>
                <c:pt idx="260">
                  <c:v>151</c:v>
                </c:pt>
                <c:pt idx="261">
                  <c:v>96</c:v>
                </c:pt>
                <c:pt idx="262">
                  <c:v>222</c:v>
                </c:pt>
                <c:pt idx="263">
                  <c:v>155</c:v>
                </c:pt>
                <c:pt idx="264">
                  <c:v>89</c:v>
                </c:pt>
                <c:pt idx="265">
                  <c:v>181</c:v>
                </c:pt>
                <c:pt idx="266">
                  <c:v>200</c:v>
                </c:pt>
                <c:pt idx="267">
                  <c:v>194</c:v>
                </c:pt>
                <c:pt idx="268">
                  <c:v>209</c:v>
                </c:pt>
                <c:pt idx="269">
                  <c:v>220</c:v>
                </c:pt>
                <c:pt idx="270">
                  <c:v>155</c:v>
                </c:pt>
                <c:pt idx="271">
                  <c:v>125</c:v>
                </c:pt>
                <c:pt idx="272">
                  <c:v>196</c:v>
                </c:pt>
                <c:pt idx="273">
                  <c:v>178</c:v>
                </c:pt>
                <c:pt idx="274">
                  <c:v>249</c:v>
                </c:pt>
                <c:pt idx="275">
                  <c:v>174</c:v>
                </c:pt>
                <c:pt idx="276">
                  <c:v>248</c:v>
                </c:pt>
                <c:pt idx="277">
                  <c:v>196</c:v>
                </c:pt>
                <c:pt idx="278">
                  <c:v>186</c:v>
                </c:pt>
                <c:pt idx="279">
                  <c:v>207</c:v>
                </c:pt>
                <c:pt idx="280">
                  <c:v>122</c:v>
                </c:pt>
                <c:pt idx="281">
                  <c:v>157</c:v>
                </c:pt>
                <c:pt idx="282">
                  <c:v>226</c:v>
                </c:pt>
                <c:pt idx="283">
                  <c:v>150</c:v>
                </c:pt>
                <c:pt idx="284">
                  <c:v>212</c:v>
                </c:pt>
                <c:pt idx="285">
                  <c:v>108</c:v>
                </c:pt>
                <c:pt idx="286">
                  <c:v>200</c:v>
                </c:pt>
                <c:pt idx="287">
                  <c:v>201</c:v>
                </c:pt>
                <c:pt idx="288">
                  <c:v>147</c:v>
                </c:pt>
                <c:pt idx="289">
                  <c:v>230</c:v>
                </c:pt>
                <c:pt idx="290">
                  <c:v>155</c:v>
                </c:pt>
                <c:pt idx="291">
                  <c:v>132</c:v>
                </c:pt>
                <c:pt idx="292">
                  <c:v>192</c:v>
                </c:pt>
                <c:pt idx="293">
                  <c:v>99</c:v>
                </c:pt>
                <c:pt idx="294">
                  <c:v>234</c:v>
                </c:pt>
                <c:pt idx="295">
                  <c:v>116</c:v>
                </c:pt>
                <c:pt idx="296">
                  <c:v>99</c:v>
                </c:pt>
                <c:pt idx="297">
                  <c:v>103</c:v>
                </c:pt>
                <c:pt idx="298">
                  <c:v>143</c:v>
                </c:pt>
                <c:pt idx="299">
                  <c:v>190</c:v>
                </c:pt>
                <c:pt idx="300">
                  <c:v>112</c:v>
                </c:pt>
                <c:pt idx="301">
                  <c:v>235</c:v>
                </c:pt>
                <c:pt idx="302">
                  <c:v>118</c:v>
                </c:pt>
                <c:pt idx="303">
                  <c:v>228</c:v>
                </c:pt>
                <c:pt idx="304">
                  <c:v>239</c:v>
                </c:pt>
                <c:pt idx="305">
                  <c:v>125</c:v>
                </c:pt>
                <c:pt idx="306">
                  <c:v>216</c:v>
                </c:pt>
                <c:pt idx="307">
                  <c:v>216</c:v>
                </c:pt>
                <c:pt idx="308">
                  <c:v>215</c:v>
                </c:pt>
                <c:pt idx="309">
                  <c:v>246</c:v>
                </c:pt>
                <c:pt idx="310">
                  <c:v>88</c:v>
                </c:pt>
                <c:pt idx="311">
                  <c:v>206</c:v>
                </c:pt>
                <c:pt idx="312">
                  <c:v>190</c:v>
                </c:pt>
                <c:pt idx="313">
                  <c:v>110</c:v>
                </c:pt>
                <c:pt idx="314">
                  <c:v>109</c:v>
                </c:pt>
                <c:pt idx="315">
                  <c:v>123</c:v>
                </c:pt>
                <c:pt idx="316">
                  <c:v>197</c:v>
                </c:pt>
                <c:pt idx="317">
                  <c:v>177</c:v>
                </c:pt>
                <c:pt idx="318">
                  <c:v>112</c:v>
                </c:pt>
                <c:pt idx="319">
                  <c:v>232</c:v>
                </c:pt>
                <c:pt idx="320">
                  <c:v>184</c:v>
                </c:pt>
                <c:pt idx="321">
                  <c:v>205</c:v>
                </c:pt>
                <c:pt idx="322">
                  <c:v>189</c:v>
                </c:pt>
                <c:pt idx="323">
                  <c:v>150</c:v>
                </c:pt>
                <c:pt idx="324">
                  <c:v>135</c:v>
                </c:pt>
                <c:pt idx="325">
                  <c:v>100</c:v>
                </c:pt>
                <c:pt idx="326">
                  <c:v>178</c:v>
                </c:pt>
                <c:pt idx="327">
                  <c:v>152</c:v>
                </c:pt>
                <c:pt idx="328">
                  <c:v>155</c:v>
                </c:pt>
                <c:pt idx="329">
                  <c:v>98</c:v>
                </c:pt>
                <c:pt idx="330">
                  <c:v>183</c:v>
                </c:pt>
                <c:pt idx="331">
                  <c:v>111</c:v>
                </c:pt>
                <c:pt idx="332">
                  <c:v>187</c:v>
                </c:pt>
                <c:pt idx="333">
                  <c:v>132</c:v>
                </c:pt>
                <c:pt idx="334">
                  <c:v>221</c:v>
                </c:pt>
                <c:pt idx="335">
                  <c:v>94</c:v>
                </c:pt>
                <c:pt idx="336">
                  <c:v>103</c:v>
                </c:pt>
                <c:pt idx="337">
                  <c:v>120</c:v>
                </c:pt>
                <c:pt idx="338">
                  <c:v>218</c:v>
                </c:pt>
                <c:pt idx="339">
                  <c:v>186</c:v>
                </c:pt>
                <c:pt idx="340">
                  <c:v>140</c:v>
                </c:pt>
                <c:pt idx="341">
                  <c:v>230</c:v>
                </c:pt>
                <c:pt idx="342">
                  <c:v>212</c:v>
                </c:pt>
                <c:pt idx="343">
                  <c:v>207</c:v>
                </c:pt>
                <c:pt idx="344">
                  <c:v>185</c:v>
                </c:pt>
                <c:pt idx="345">
                  <c:v>166</c:v>
                </c:pt>
                <c:pt idx="346">
                  <c:v>109</c:v>
                </c:pt>
                <c:pt idx="347">
                  <c:v>132</c:v>
                </c:pt>
                <c:pt idx="348">
                  <c:v>140</c:v>
                </c:pt>
                <c:pt idx="349">
                  <c:v>130</c:v>
                </c:pt>
                <c:pt idx="350">
                  <c:v>165</c:v>
                </c:pt>
                <c:pt idx="351">
                  <c:v>125</c:v>
                </c:pt>
                <c:pt idx="352">
                  <c:v>126</c:v>
                </c:pt>
                <c:pt idx="353">
                  <c:v>105</c:v>
                </c:pt>
                <c:pt idx="354">
                  <c:v>109</c:v>
                </c:pt>
                <c:pt idx="355">
                  <c:v>199</c:v>
                </c:pt>
                <c:pt idx="356">
                  <c:v>222</c:v>
                </c:pt>
                <c:pt idx="357">
                  <c:v>134</c:v>
                </c:pt>
                <c:pt idx="358">
                  <c:v>117</c:v>
                </c:pt>
                <c:pt idx="359">
                  <c:v>126</c:v>
                </c:pt>
                <c:pt idx="360">
                  <c:v>163</c:v>
                </c:pt>
                <c:pt idx="361">
                  <c:v>178</c:v>
                </c:pt>
                <c:pt idx="362">
                  <c:v>231</c:v>
                </c:pt>
                <c:pt idx="363">
                  <c:v>120</c:v>
                </c:pt>
                <c:pt idx="364">
                  <c:v>140</c:v>
                </c:pt>
                <c:pt idx="365">
                  <c:v>131</c:v>
                </c:pt>
                <c:pt idx="366">
                  <c:v>169</c:v>
                </c:pt>
                <c:pt idx="367">
                  <c:v>196</c:v>
                </c:pt>
                <c:pt idx="368">
                  <c:v>149</c:v>
                </c:pt>
                <c:pt idx="369">
                  <c:v>90</c:v>
                </c:pt>
                <c:pt idx="370">
                  <c:v>94</c:v>
                </c:pt>
                <c:pt idx="371">
                  <c:v>202</c:v>
                </c:pt>
                <c:pt idx="372">
                  <c:v>173</c:v>
                </c:pt>
                <c:pt idx="373">
                  <c:v>136</c:v>
                </c:pt>
                <c:pt idx="374">
                  <c:v>238</c:v>
                </c:pt>
                <c:pt idx="375">
                  <c:v>159</c:v>
                </c:pt>
                <c:pt idx="376">
                  <c:v>128</c:v>
                </c:pt>
                <c:pt idx="377">
                  <c:v>105</c:v>
                </c:pt>
                <c:pt idx="378">
                  <c:v>174</c:v>
                </c:pt>
                <c:pt idx="379">
                  <c:v>200</c:v>
                </c:pt>
                <c:pt idx="380">
                  <c:v>99</c:v>
                </c:pt>
                <c:pt idx="381">
                  <c:v>140</c:v>
                </c:pt>
                <c:pt idx="382">
                  <c:v>211</c:v>
                </c:pt>
                <c:pt idx="383">
                  <c:v>207</c:v>
                </c:pt>
                <c:pt idx="384">
                  <c:v>108</c:v>
                </c:pt>
                <c:pt idx="385">
                  <c:v>159</c:v>
                </c:pt>
                <c:pt idx="386">
                  <c:v>98</c:v>
                </c:pt>
                <c:pt idx="387">
                  <c:v>210</c:v>
                </c:pt>
                <c:pt idx="388">
                  <c:v>177</c:v>
                </c:pt>
                <c:pt idx="389">
                  <c:v>162</c:v>
                </c:pt>
                <c:pt idx="390">
                  <c:v>243</c:v>
                </c:pt>
                <c:pt idx="391">
                  <c:v>179</c:v>
                </c:pt>
                <c:pt idx="392">
                  <c:v>198</c:v>
                </c:pt>
                <c:pt idx="393">
                  <c:v>137</c:v>
                </c:pt>
                <c:pt idx="394">
                  <c:v>217</c:v>
                </c:pt>
                <c:pt idx="395">
                  <c:v>137</c:v>
                </c:pt>
                <c:pt idx="396">
                  <c:v>91</c:v>
                </c:pt>
                <c:pt idx="397">
                  <c:v>197</c:v>
                </c:pt>
                <c:pt idx="398">
                  <c:v>247</c:v>
                </c:pt>
                <c:pt idx="399">
                  <c:v>165</c:v>
                </c:pt>
                <c:pt idx="400">
                  <c:v>190</c:v>
                </c:pt>
                <c:pt idx="401">
                  <c:v>180</c:v>
                </c:pt>
                <c:pt idx="402">
                  <c:v>107</c:v>
                </c:pt>
                <c:pt idx="403">
                  <c:v>180</c:v>
                </c:pt>
                <c:pt idx="404">
                  <c:v>113</c:v>
                </c:pt>
                <c:pt idx="405">
                  <c:v>134</c:v>
                </c:pt>
                <c:pt idx="406">
                  <c:v>97</c:v>
                </c:pt>
                <c:pt idx="407">
                  <c:v>152</c:v>
                </c:pt>
                <c:pt idx="408">
                  <c:v>115</c:v>
                </c:pt>
                <c:pt idx="409">
                  <c:v>172</c:v>
                </c:pt>
                <c:pt idx="410">
                  <c:v>194</c:v>
                </c:pt>
                <c:pt idx="411">
                  <c:v>228</c:v>
                </c:pt>
                <c:pt idx="412">
                  <c:v>131</c:v>
                </c:pt>
                <c:pt idx="413">
                  <c:v>170</c:v>
                </c:pt>
                <c:pt idx="414">
                  <c:v>210</c:v>
                </c:pt>
                <c:pt idx="415">
                  <c:v>95</c:v>
                </c:pt>
                <c:pt idx="416">
                  <c:v>145</c:v>
                </c:pt>
                <c:pt idx="417">
                  <c:v>174</c:v>
                </c:pt>
                <c:pt idx="418">
                  <c:v>190</c:v>
                </c:pt>
                <c:pt idx="419">
                  <c:v>106</c:v>
                </c:pt>
                <c:pt idx="420">
                  <c:v>93</c:v>
                </c:pt>
                <c:pt idx="421">
                  <c:v>105</c:v>
                </c:pt>
                <c:pt idx="422">
                  <c:v>153</c:v>
                </c:pt>
                <c:pt idx="423">
                  <c:v>226</c:v>
                </c:pt>
                <c:pt idx="424">
                  <c:v>148</c:v>
                </c:pt>
                <c:pt idx="425">
                  <c:v>157</c:v>
                </c:pt>
                <c:pt idx="426">
                  <c:v>216</c:v>
                </c:pt>
                <c:pt idx="427">
                  <c:v>217</c:v>
                </c:pt>
                <c:pt idx="428">
                  <c:v>101</c:v>
                </c:pt>
                <c:pt idx="429">
                  <c:v>221</c:v>
                </c:pt>
                <c:pt idx="430">
                  <c:v>168</c:v>
                </c:pt>
                <c:pt idx="431">
                  <c:v>216</c:v>
                </c:pt>
                <c:pt idx="432">
                  <c:v>89</c:v>
                </c:pt>
                <c:pt idx="433">
                  <c:v>235</c:v>
                </c:pt>
                <c:pt idx="434">
                  <c:v>241</c:v>
                </c:pt>
                <c:pt idx="435">
                  <c:v>242</c:v>
                </c:pt>
                <c:pt idx="436">
                  <c:v>145</c:v>
                </c:pt>
                <c:pt idx="437">
                  <c:v>121</c:v>
                </c:pt>
                <c:pt idx="438">
                  <c:v>142</c:v>
                </c:pt>
                <c:pt idx="439">
                  <c:v>200</c:v>
                </c:pt>
                <c:pt idx="440">
                  <c:v>158</c:v>
                </c:pt>
                <c:pt idx="441">
                  <c:v>162</c:v>
                </c:pt>
                <c:pt idx="442">
                  <c:v>216</c:v>
                </c:pt>
                <c:pt idx="443">
                  <c:v>127</c:v>
                </c:pt>
                <c:pt idx="444">
                  <c:v>243</c:v>
                </c:pt>
                <c:pt idx="445">
                  <c:v>133</c:v>
                </c:pt>
                <c:pt idx="446">
                  <c:v>213</c:v>
                </c:pt>
                <c:pt idx="447">
                  <c:v>163</c:v>
                </c:pt>
                <c:pt idx="448">
                  <c:v>139</c:v>
                </c:pt>
                <c:pt idx="449">
                  <c:v>170</c:v>
                </c:pt>
                <c:pt idx="450">
                  <c:v>170</c:v>
                </c:pt>
                <c:pt idx="451">
                  <c:v>147</c:v>
                </c:pt>
                <c:pt idx="452">
                  <c:v>103</c:v>
                </c:pt>
                <c:pt idx="453">
                  <c:v>102</c:v>
                </c:pt>
                <c:pt idx="454">
                  <c:v>123</c:v>
                </c:pt>
                <c:pt idx="455">
                  <c:v>192</c:v>
                </c:pt>
                <c:pt idx="456">
                  <c:v>157</c:v>
                </c:pt>
                <c:pt idx="457">
                  <c:v>140</c:v>
                </c:pt>
                <c:pt idx="458">
                  <c:v>109</c:v>
                </c:pt>
                <c:pt idx="459">
                  <c:v>197</c:v>
                </c:pt>
                <c:pt idx="460">
                  <c:v>244</c:v>
                </c:pt>
                <c:pt idx="461">
                  <c:v>208</c:v>
                </c:pt>
                <c:pt idx="462">
                  <c:v>233</c:v>
                </c:pt>
                <c:pt idx="463">
                  <c:v>206</c:v>
                </c:pt>
                <c:pt idx="464">
                  <c:v>187</c:v>
                </c:pt>
                <c:pt idx="465">
                  <c:v>173</c:v>
                </c:pt>
                <c:pt idx="466">
                  <c:v>237</c:v>
                </c:pt>
                <c:pt idx="467">
                  <c:v>203</c:v>
                </c:pt>
                <c:pt idx="468">
                  <c:v>90</c:v>
                </c:pt>
                <c:pt idx="469">
                  <c:v>126</c:v>
                </c:pt>
                <c:pt idx="470">
                  <c:v>122</c:v>
                </c:pt>
                <c:pt idx="471">
                  <c:v>220</c:v>
                </c:pt>
                <c:pt idx="472">
                  <c:v>169</c:v>
                </c:pt>
                <c:pt idx="473">
                  <c:v>201</c:v>
                </c:pt>
                <c:pt idx="474">
                  <c:v>197</c:v>
                </c:pt>
                <c:pt idx="475">
                  <c:v>95</c:v>
                </c:pt>
                <c:pt idx="476">
                  <c:v>97</c:v>
                </c:pt>
                <c:pt idx="477">
                  <c:v>94</c:v>
                </c:pt>
                <c:pt idx="478">
                  <c:v>219</c:v>
                </c:pt>
                <c:pt idx="479">
                  <c:v>187</c:v>
                </c:pt>
                <c:pt idx="480">
                  <c:v>105</c:v>
                </c:pt>
                <c:pt idx="481">
                  <c:v>202</c:v>
                </c:pt>
                <c:pt idx="482">
                  <c:v>148</c:v>
                </c:pt>
                <c:pt idx="483">
                  <c:v>220</c:v>
                </c:pt>
                <c:pt idx="484">
                  <c:v>95</c:v>
                </c:pt>
                <c:pt idx="485">
                  <c:v>102</c:v>
                </c:pt>
                <c:pt idx="486">
                  <c:v>201</c:v>
                </c:pt>
                <c:pt idx="487">
                  <c:v>228</c:v>
                </c:pt>
                <c:pt idx="488">
                  <c:v>229</c:v>
                </c:pt>
                <c:pt idx="489">
                  <c:v>108</c:v>
                </c:pt>
                <c:pt idx="490">
                  <c:v>146</c:v>
                </c:pt>
                <c:pt idx="491">
                  <c:v>195</c:v>
                </c:pt>
                <c:pt idx="492">
                  <c:v>227</c:v>
                </c:pt>
                <c:pt idx="493">
                  <c:v>230</c:v>
                </c:pt>
                <c:pt idx="494">
                  <c:v>224</c:v>
                </c:pt>
                <c:pt idx="495">
                  <c:v>114</c:v>
                </c:pt>
                <c:pt idx="496">
                  <c:v>90</c:v>
                </c:pt>
                <c:pt idx="497">
                  <c:v>216</c:v>
                </c:pt>
                <c:pt idx="498">
                  <c:v>214</c:v>
                </c:pt>
                <c:pt idx="499">
                  <c:v>142</c:v>
                </c:pt>
              </c:numCache>
            </c:numRef>
          </c:xVal>
          <c:yVal>
            <c:numRef>
              <c:f>Sheet2!$C$2:$C$501</c:f>
              <c:numCache>
                <c:formatCode>General</c:formatCode>
                <c:ptCount val="500"/>
                <c:pt idx="0">
                  <c:v>17</c:v>
                </c:pt>
                <c:pt idx="1">
                  <c:v>58</c:v>
                </c:pt>
                <c:pt idx="2">
                  <c:v>50</c:v>
                </c:pt>
                <c:pt idx="3">
                  <c:v>37</c:v>
                </c:pt>
                <c:pt idx="4">
                  <c:v>40</c:v>
                </c:pt>
                <c:pt idx="5">
                  <c:v>29</c:v>
                </c:pt>
                <c:pt idx="6">
                  <c:v>55</c:v>
                </c:pt>
                <c:pt idx="7">
                  <c:v>24</c:v>
                </c:pt>
                <c:pt idx="8">
                  <c:v>59</c:v>
                </c:pt>
                <c:pt idx="9">
                  <c:v>56</c:v>
                </c:pt>
                <c:pt idx="10">
                  <c:v>43</c:v>
                </c:pt>
                <c:pt idx="11">
                  <c:v>52</c:v>
                </c:pt>
                <c:pt idx="12">
                  <c:v>18</c:v>
                </c:pt>
                <c:pt idx="13">
                  <c:v>17</c:v>
                </c:pt>
                <c:pt idx="14">
                  <c:v>43</c:v>
                </c:pt>
                <c:pt idx="15">
                  <c:v>43</c:v>
                </c:pt>
                <c:pt idx="16">
                  <c:v>26</c:v>
                </c:pt>
                <c:pt idx="17">
                  <c:v>35</c:v>
                </c:pt>
                <c:pt idx="18">
                  <c:v>35</c:v>
                </c:pt>
                <c:pt idx="19">
                  <c:v>42</c:v>
                </c:pt>
                <c:pt idx="20">
                  <c:v>23</c:v>
                </c:pt>
                <c:pt idx="21">
                  <c:v>57</c:v>
                </c:pt>
                <c:pt idx="22">
                  <c:v>43</c:v>
                </c:pt>
                <c:pt idx="23">
                  <c:v>44</c:v>
                </c:pt>
                <c:pt idx="24">
                  <c:v>58</c:v>
                </c:pt>
                <c:pt idx="25">
                  <c:v>30</c:v>
                </c:pt>
                <c:pt idx="26">
                  <c:v>23</c:v>
                </c:pt>
                <c:pt idx="27">
                  <c:v>34</c:v>
                </c:pt>
                <c:pt idx="28">
                  <c:v>13</c:v>
                </c:pt>
                <c:pt idx="29">
                  <c:v>28</c:v>
                </c:pt>
                <c:pt idx="30">
                  <c:v>43</c:v>
                </c:pt>
                <c:pt idx="31">
                  <c:v>60</c:v>
                </c:pt>
                <c:pt idx="32">
                  <c:v>51</c:v>
                </c:pt>
                <c:pt idx="33">
                  <c:v>57</c:v>
                </c:pt>
                <c:pt idx="34">
                  <c:v>55</c:v>
                </c:pt>
                <c:pt idx="35">
                  <c:v>21</c:v>
                </c:pt>
                <c:pt idx="36">
                  <c:v>54</c:v>
                </c:pt>
                <c:pt idx="37">
                  <c:v>18</c:v>
                </c:pt>
                <c:pt idx="38">
                  <c:v>25</c:v>
                </c:pt>
                <c:pt idx="39">
                  <c:v>33</c:v>
                </c:pt>
                <c:pt idx="40">
                  <c:v>14</c:v>
                </c:pt>
                <c:pt idx="41">
                  <c:v>60</c:v>
                </c:pt>
                <c:pt idx="42">
                  <c:v>60</c:v>
                </c:pt>
                <c:pt idx="43">
                  <c:v>15</c:v>
                </c:pt>
                <c:pt idx="44">
                  <c:v>53</c:v>
                </c:pt>
                <c:pt idx="45">
                  <c:v>48</c:v>
                </c:pt>
                <c:pt idx="46">
                  <c:v>38</c:v>
                </c:pt>
                <c:pt idx="47">
                  <c:v>54</c:v>
                </c:pt>
                <c:pt idx="48">
                  <c:v>37</c:v>
                </c:pt>
                <c:pt idx="49">
                  <c:v>45</c:v>
                </c:pt>
                <c:pt idx="50">
                  <c:v>15</c:v>
                </c:pt>
                <c:pt idx="51">
                  <c:v>31</c:v>
                </c:pt>
                <c:pt idx="52">
                  <c:v>59</c:v>
                </c:pt>
                <c:pt idx="53">
                  <c:v>60</c:v>
                </c:pt>
                <c:pt idx="54">
                  <c:v>34</c:v>
                </c:pt>
                <c:pt idx="55">
                  <c:v>60</c:v>
                </c:pt>
                <c:pt idx="56">
                  <c:v>27</c:v>
                </c:pt>
                <c:pt idx="57">
                  <c:v>48</c:v>
                </c:pt>
                <c:pt idx="58">
                  <c:v>24</c:v>
                </c:pt>
                <c:pt idx="59">
                  <c:v>38</c:v>
                </c:pt>
                <c:pt idx="60">
                  <c:v>30</c:v>
                </c:pt>
                <c:pt idx="61">
                  <c:v>44</c:v>
                </c:pt>
                <c:pt idx="62">
                  <c:v>35</c:v>
                </c:pt>
                <c:pt idx="63">
                  <c:v>18</c:v>
                </c:pt>
                <c:pt idx="64">
                  <c:v>38</c:v>
                </c:pt>
                <c:pt idx="65">
                  <c:v>43</c:v>
                </c:pt>
                <c:pt idx="66">
                  <c:v>33</c:v>
                </c:pt>
                <c:pt idx="67">
                  <c:v>14</c:v>
                </c:pt>
                <c:pt idx="68">
                  <c:v>52</c:v>
                </c:pt>
                <c:pt idx="69">
                  <c:v>22</c:v>
                </c:pt>
                <c:pt idx="70">
                  <c:v>26</c:v>
                </c:pt>
                <c:pt idx="71">
                  <c:v>24</c:v>
                </c:pt>
                <c:pt idx="72">
                  <c:v>31</c:v>
                </c:pt>
                <c:pt idx="73">
                  <c:v>52</c:v>
                </c:pt>
                <c:pt idx="74">
                  <c:v>46</c:v>
                </c:pt>
                <c:pt idx="75">
                  <c:v>15</c:v>
                </c:pt>
                <c:pt idx="76">
                  <c:v>19</c:v>
                </c:pt>
                <c:pt idx="77">
                  <c:v>55</c:v>
                </c:pt>
                <c:pt idx="78">
                  <c:v>32</c:v>
                </c:pt>
                <c:pt idx="79">
                  <c:v>51</c:v>
                </c:pt>
                <c:pt idx="80">
                  <c:v>27</c:v>
                </c:pt>
                <c:pt idx="81">
                  <c:v>12</c:v>
                </c:pt>
                <c:pt idx="82">
                  <c:v>36</c:v>
                </c:pt>
                <c:pt idx="83">
                  <c:v>21</c:v>
                </c:pt>
                <c:pt idx="84">
                  <c:v>15</c:v>
                </c:pt>
                <c:pt idx="85">
                  <c:v>55</c:v>
                </c:pt>
                <c:pt idx="86">
                  <c:v>40</c:v>
                </c:pt>
                <c:pt idx="87">
                  <c:v>46</c:v>
                </c:pt>
                <c:pt idx="88">
                  <c:v>46</c:v>
                </c:pt>
                <c:pt idx="89">
                  <c:v>50</c:v>
                </c:pt>
                <c:pt idx="90">
                  <c:v>41</c:v>
                </c:pt>
                <c:pt idx="91">
                  <c:v>37</c:v>
                </c:pt>
                <c:pt idx="92">
                  <c:v>23</c:v>
                </c:pt>
                <c:pt idx="93">
                  <c:v>21</c:v>
                </c:pt>
                <c:pt idx="94">
                  <c:v>29</c:v>
                </c:pt>
                <c:pt idx="95">
                  <c:v>40</c:v>
                </c:pt>
                <c:pt idx="96">
                  <c:v>14</c:v>
                </c:pt>
                <c:pt idx="97">
                  <c:v>21</c:v>
                </c:pt>
                <c:pt idx="98">
                  <c:v>45</c:v>
                </c:pt>
                <c:pt idx="99">
                  <c:v>52</c:v>
                </c:pt>
                <c:pt idx="100">
                  <c:v>40</c:v>
                </c:pt>
                <c:pt idx="101">
                  <c:v>19</c:v>
                </c:pt>
                <c:pt idx="102">
                  <c:v>33</c:v>
                </c:pt>
                <c:pt idx="103">
                  <c:v>48</c:v>
                </c:pt>
                <c:pt idx="104">
                  <c:v>58</c:v>
                </c:pt>
                <c:pt idx="105">
                  <c:v>50</c:v>
                </c:pt>
                <c:pt idx="106">
                  <c:v>30</c:v>
                </c:pt>
                <c:pt idx="107">
                  <c:v>15</c:v>
                </c:pt>
                <c:pt idx="108">
                  <c:v>59</c:v>
                </c:pt>
                <c:pt idx="109">
                  <c:v>39</c:v>
                </c:pt>
                <c:pt idx="110">
                  <c:v>18</c:v>
                </c:pt>
                <c:pt idx="111">
                  <c:v>52</c:v>
                </c:pt>
                <c:pt idx="112">
                  <c:v>50</c:v>
                </c:pt>
                <c:pt idx="113">
                  <c:v>18</c:v>
                </c:pt>
                <c:pt idx="114">
                  <c:v>40</c:v>
                </c:pt>
                <c:pt idx="115">
                  <c:v>41</c:v>
                </c:pt>
                <c:pt idx="116">
                  <c:v>17</c:v>
                </c:pt>
                <c:pt idx="117">
                  <c:v>47</c:v>
                </c:pt>
                <c:pt idx="118">
                  <c:v>40</c:v>
                </c:pt>
                <c:pt idx="119">
                  <c:v>14</c:v>
                </c:pt>
                <c:pt idx="120">
                  <c:v>43</c:v>
                </c:pt>
                <c:pt idx="121">
                  <c:v>19</c:v>
                </c:pt>
                <c:pt idx="122">
                  <c:v>47</c:v>
                </c:pt>
                <c:pt idx="123">
                  <c:v>36</c:v>
                </c:pt>
                <c:pt idx="124">
                  <c:v>56</c:v>
                </c:pt>
                <c:pt idx="125">
                  <c:v>52</c:v>
                </c:pt>
                <c:pt idx="126">
                  <c:v>54</c:v>
                </c:pt>
                <c:pt idx="127">
                  <c:v>41</c:v>
                </c:pt>
                <c:pt idx="128">
                  <c:v>45</c:v>
                </c:pt>
                <c:pt idx="129">
                  <c:v>47</c:v>
                </c:pt>
                <c:pt idx="130">
                  <c:v>56</c:v>
                </c:pt>
                <c:pt idx="131">
                  <c:v>46</c:v>
                </c:pt>
                <c:pt idx="132">
                  <c:v>57</c:v>
                </c:pt>
                <c:pt idx="133">
                  <c:v>48</c:v>
                </c:pt>
                <c:pt idx="134">
                  <c:v>59</c:v>
                </c:pt>
                <c:pt idx="135">
                  <c:v>53</c:v>
                </c:pt>
                <c:pt idx="136">
                  <c:v>58</c:v>
                </c:pt>
                <c:pt idx="137">
                  <c:v>54</c:v>
                </c:pt>
                <c:pt idx="138">
                  <c:v>46</c:v>
                </c:pt>
                <c:pt idx="139">
                  <c:v>52</c:v>
                </c:pt>
                <c:pt idx="140">
                  <c:v>54</c:v>
                </c:pt>
                <c:pt idx="141">
                  <c:v>54</c:v>
                </c:pt>
                <c:pt idx="142">
                  <c:v>54</c:v>
                </c:pt>
                <c:pt idx="143">
                  <c:v>45</c:v>
                </c:pt>
                <c:pt idx="144">
                  <c:v>57</c:v>
                </c:pt>
                <c:pt idx="145">
                  <c:v>47</c:v>
                </c:pt>
                <c:pt idx="146">
                  <c:v>52</c:v>
                </c:pt>
                <c:pt idx="147">
                  <c:v>49</c:v>
                </c:pt>
                <c:pt idx="148">
                  <c:v>49</c:v>
                </c:pt>
                <c:pt idx="149">
                  <c:v>54</c:v>
                </c:pt>
                <c:pt idx="150">
                  <c:v>58</c:v>
                </c:pt>
                <c:pt idx="151">
                  <c:v>53</c:v>
                </c:pt>
                <c:pt idx="152">
                  <c:v>50</c:v>
                </c:pt>
                <c:pt idx="153">
                  <c:v>49</c:v>
                </c:pt>
                <c:pt idx="154">
                  <c:v>54</c:v>
                </c:pt>
                <c:pt idx="155">
                  <c:v>56</c:v>
                </c:pt>
                <c:pt idx="156">
                  <c:v>54</c:v>
                </c:pt>
                <c:pt idx="157">
                  <c:v>47</c:v>
                </c:pt>
                <c:pt idx="158">
                  <c:v>59</c:v>
                </c:pt>
                <c:pt idx="159">
                  <c:v>54</c:v>
                </c:pt>
                <c:pt idx="160">
                  <c:v>53</c:v>
                </c:pt>
                <c:pt idx="161">
                  <c:v>59</c:v>
                </c:pt>
                <c:pt idx="162">
                  <c:v>52</c:v>
                </c:pt>
                <c:pt idx="163">
                  <c:v>45</c:v>
                </c:pt>
                <c:pt idx="164">
                  <c:v>51</c:v>
                </c:pt>
                <c:pt idx="165">
                  <c:v>49</c:v>
                </c:pt>
                <c:pt idx="166">
                  <c:v>53</c:v>
                </c:pt>
                <c:pt idx="167">
                  <c:v>52</c:v>
                </c:pt>
                <c:pt idx="168">
                  <c:v>56</c:v>
                </c:pt>
                <c:pt idx="169">
                  <c:v>56</c:v>
                </c:pt>
                <c:pt idx="170">
                  <c:v>46</c:v>
                </c:pt>
                <c:pt idx="171">
                  <c:v>59</c:v>
                </c:pt>
                <c:pt idx="172">
                  <c:v>55</c:v>
                </c:pt>
                <c:pt idx="173">
                  <c:v>55</c:v>
                </c:pt>
                <c:pt idx="174">
                  <c:v>51</c:v>
                </c:pt>
                <c:pt idx="175">
                  <c:v>54</c:v>
                </c:pt>
                <c:pt idx="176">
                  <c:v>51</c:v>
                </c:pt>
                <c:pt idx="177">
                  <c:v>60</c:v>
                </c:pt>
                <c:pt idx="178">
                  <c:v>51</c:v>
                </c:pt>
                <c:pt idx="179">
                  <c:v>51</c:v>
                </c:pt>
                <c:pt idx="180">
                  <c:v>45</c:v>
                </c:pt>
                <c:pt idx="181">
                  <c:v>59</c:v>
                </c:pt>
                <c:pt idx="182">
                  <c:v>53</c:v>
                </c:pt>
                <c:pt idx="183">
                  <c:v>50</c:v>
                </c:pt>
                <c:pt idx="184">
                  <c:v>53</c:v>
                </c:pt>
                <c:pt idx="185">
                  <c:v>56</c:v>
                </c:pt>
                <c:pt idx="186">
                  <c:v>47</c:v>
                </c:pt>
                <c:pt idx="187">
                  <c:v>59</c:v>
                </c:pt>
                <c:pt idx="188">
                  <c:v>58</c:v>
                </c:pt>
                <c:pt idx="189">
                  <c:v>45</c:v>
                </c:pt>
                <c:pt idx="190">
                  <c:v>51</c:v>
                </c:pt>
                <c:pt idx="191">
                  <c:v>47</c:v>
                </c:pt>
                <c:pt idx="192">
                  <c:v>45</c:v>
                </c:pt>
                <c:pt idx="193">
                  <c:v>59</c:v>
                </c:pt>
                <c:pt idx="194">
                  <c:v>60</c:v>
                </c:pt>
                <c:pt idx="195">
                  <c:v>55</c:v>
                </c:pt>
                <c:pt idx="196">
                  <c:v>53</c:v>
                </c:pt>
                <c:pt idx="197">
                  <c:v>58</c:v>
                </c:pt>
                <c:pt idx="198">
                  <c:v>45</c:v>
                </c:pt>
                <c:pt idx="199">
                  <c:v>47</c:v>
                </c:pt>
                <c:pt idx="200">
                  <c:v>57</c:v>
                </c:pt>
                <c:pt idx="201">
                  <c:v>45</c:v>
                </c:pt>
                <c:pt idx="202">
                  <c:v>49</c:v>
                </c:pt>
                <c:pt idx="203">
                  <c:v>60</c:v>
                </c:pt>
                <c:pt idx="204">
                  <c:v>45</c:v>
                </c:pt>
                <c:pt idx="205">
                  <c:v>51</c:v>
                </c:pt>
                <c:pt idx="206">
                  <c:v>51</c:v>
                </c:pt>
                <c:pt idx="207">
                  <c:v>45</c:v>
                </c:pt>
                <c:pt idx="208">
                  <c:v>52</c:v>
                </c:pt>
                <c:pt idx="209">
                  <c:v>54</c:v>
                </c:pt>
                <c:pt idx="210">
                  <c:v>53</c:v>
                </c:pt>
                <c:pt idx="211">
                  <c:v>46</c:v>
                </c:pt>
                <c:pt idx="212">
                  <c:v>47</c:v>
                </c:pt>
                <c:pt idx="213">
                  <c:v>49</c:v>
                </c:pt>
                <c:pt idx="214">
                  <c:v>52</c:v>
                </c:pt>
                <c:pt idx="215">
                  <c:v>57</c:v>
                </c:pt>
                <c:pt idx="216">
                  <c:v>49</c:v>
                </c:pt>
                <c:pt idx="217">
                  <c:v>51</c:v>
                </c:pt>
                <c:pt idx="218">
                  <c:v>45</c:v>
                </c:pt>
                <c:pt idx="219">
                  <c:v>48</c:v>
                </c:pt>
                <c:pt idx="220">
                  <c:v>45</c:v>
                </c:pt>
                <c:pt idx="221">
                  <c:v>60</c:v>
                </c:pt>
                <c:pt idx="222">
                  <c:v>52</c:v>
                </c:pt>
                <c:pt idx="223">
                  <c:v>49</c:v>
                </c:pt>
                <c:pt idx="224">
                  <c:v>60</c:v>
                </c:pt>
                <c:pt idx="225">
                  <c:v>47</c:v>
                </c:pt>
                <c:pt idx="226">
                  <c:v>45</c:v>
                </c:pt>
                <c:pt idx="227">
                  <c:v>56</c:v>
                </c:pt>
                <c:pt idx="228">
                  <c:v>56</c:v>
                </c:pt>
                <c:pt idx="229">
                  <c:v>55</c:v>
                </c:pt>
                <c:pt idx="230">
                  <c:v>59</c:v>
                </c:pt>
                <c:pt idx="231">
                  <c:v>56</c:v>
                </c:pt>
                <c:pt idx="232">
                  <c:v>58</c:v>
                </c:pt>
                <c:pt idx="233">
                  <c:v>45</c:v>
                </c:pt>
                <c:pt idx="234">
                  <c:v>64</c:v>
                </c:pt>
                <c:pt idx="235">
                  <c:v>72</c:v>
                </c:pt>
                <c:pt idx="236">
                  <c:v>62</c:v>
                </c:pt>
                <c:pt idx="237">
                  <c:v>70</c:v>
                </c:pt>
                <c:pt idx="238">
                  <c:v>68</c:v>
                </c:pt>
                <c:pt idx="239">
                  <c:v>64</c:v>
                </c:pt>
                <c:pt idx="240">
                  <c:v>120</c:v>
                </c:pt>
                <c:pt idx="241">
                  <c:v>108</c:v>
                </c:pt>
                <c:pt idx="242">
                  <c:v>78</c:v>
                </c:pt>
                <c:pt idx="243">
                  <c:v>75</c:v>
                </c:pt>
                <c:pt idx="244">
                  <c:v>86</c:v>
                </c:pt>
                <c:pt idx="245">
                  <c:v>74</c:v>
                </c:pt>
                <c:pt idx="246">
                  <c:v>107</c:v>
                </c:pt>
                <c:pt idx="247">
                  <c:v>87</c:v>
                </c:pt>
                <c:pt idx="248">
                  <c:v>71</c:v>
                </c:pt>
                <c:pt idx="249">
                  <c:v>102</c:v>
                </c:pt>
                <c:pt idx="250">
                  <c:v>111</c:v>
                </c:pt>
                <c:pt idx="251">
                  <c:v>95</c:v>
                </c:pt>
                <c:pt idx="252">
                  <c:v>92</c:v>
                </c:pt>
                <c:pt idx="253">
                  <c:v>87</c:v>
                </c:pt>
                <c:pt idx="254">
                  <c:v>93</c:v>
                </c:pt>
                <c:pt idx="255">
                  <c:v>100</c:v>
                </c:pt>
                <c:pt idx="256">
                  <c:v>78</c:v>
                </c:pt>
                <c:pt idx="257">
                  <c:v>89</c:v>
                </c:pt>
                <c:pt idx="258">
                  <c:v>77</c:v>
                </c:pt>
                <c:pt idx="259">
                  <c:v>84</c:v>
                </c:pt>
                <c:pt idx="260">
                  <c:v>102</c:v>
                </c:pt>
                <c:pt idx="261">
                  <c:v>112</c:v>
                </c:pt>
                <c:pt idx="262">
                  <c:v>78</c:v>
                </c:pt>
                <c:pt idx="263">
                  <c:v>74</c:v>
                </c:pt>
                <c:pt idx="264">
                  <c:v>107</c:v>
                </c:pt>
                <c:pt idx="265">
                  <c:v>105</c:v>
                </c:pt>
                <c:pt idx="266">
                  <c:v>89</c:v>
                </c:pt>
                <c:pt idx="267">
                  <c:v>73</c:v>
                </c:pt>
                <c:pt idx="268">
                  <c:v>115</c:v>
                </c:pt>
                <c:pt idx="269">
                  <c:v>116</c:v>
                </c:pt>
                <c:pt idx="270">
                  <c:v>85</c:v>
                </c:pt>
                <c:pt idx="271">
                  <c:v>91</c:v>
                </c:pt>
                <c:pt idx="272">
                  <c:v>73</c:v>
                </c:pt>
                <c:pt idx="273">
                  <c:v>89</c:v>
                </c:pt>
                <c:pt idx="274">
                  <c:v>72</c:v>
                </c:pt>
                <c:pt idx="275">
                  <c:v>117</c:v>
                </c:pt>
                <c:pt idx="276">
                  <c:v>83</c:v>
                </c:pt>
                <c:pt idx="277">
                  <c:v>94</c:v>
                </c:pt>
                <c:pt idx="278">
                  <c:v>78</c:v>
                </c:pt>
                <c:pt idx="279">
                  <c:v>107</c:v>
                </c:pt>
                <c:pt idx="280">
                  <c:v>70</c:v>
                </c:pt>
                <c:pt idx="281">
                  <c:v>94</c:v>
                </c:pt>
                <c:pt idx="282">
                  <c:v>82</c:v>
                </c:pt>
                <c:pt idx="283">
                  <c:v>103</c:v>
                </c:pt>
                <c:pt idx="284">
                  <c:v>97</c:v>
                </c:pt>
                <c:pt idx="285">
                  <c:v>79</c:v>
                </c:pt>
                <c:pt idx="286">
                  <c:v>73</c:v>
                </c:pt>
                <c:pt idx="287">
                  <c:v>78</c:v>
                </c:pt>
                <c:pt idx="288">
                  <c:v>79</c:v>
                </c:pt>
                <c:pt idx="289">
                  <c:v>102</c:v>
                </c:pt>
                <c:pt idx="290">
                  <c:v>74</c:v>
                </c:pt>
                <c:pt idx="291">
                  <c:v>100</c:v>
                </c:pt>
                <c:pt idx="292">
                  <c:v>115</c:v>
                </c:pt>
                <c:pt idx="293">
                  <c:v>107</c:v>
                </c:pt>
                <c:pt idx="294">
                  <c:v>104</c:v>
                </c:pt>
                <c:pt idx="295">
                  <c:v>108</c:v>
                </c:pt>
                <c:pt idx="296">
                  <c:v>111</c:v>
                </c:pt>
                <c:pt idx="297">
                  <c:v>90</c:v>
                </c:pt>
                <c:pt idx="298">
                  <c:v>119</c:v>
                </c:pt>
                <c:pt idx="299">
                  <c:v>84</c:v>
                </c:pt>
                <c:pt idx="300">
                  <c:v>112</c:v>
                </c:pt>
                <c:pt idx="301">
                  <c:v>93</c:v>
                </c:pt>
                <c:pt idx="302">
                  <c:v>91</c:v>
                </c:pt>
                <c:pt idx="303">
                  <c:v>82</c:v>
                </c:pt>
                <c:pt idx="304">
                  <c:v>112</c:v>
                </c:pt>
                <c:pt idx="305">
                  <c:v>80</c:v>
                </c:pt>
                <c:pt idx="306">
                  <c:v>75</c:v>
                </c:pt>
                <c:pt idx="307">
                  <c:v>77</c:v>
                </c:pt>
                <c:pt idx="308">
                  <c:v>78</c:v>
                </c:pt>
                <c:pt idx="309">
                  <c:v>111</c:v>
                </c:pt>
                <c:pt idx="310">
                  <c:v>94</c:v>
                </c:pt>
                <c:pt idx="311">
                  <c:v>104</c:v>
                </c:pt>
                <c:pt idx="312">
                  <c:v>70</c:v>
                </c:pt>
                <c:pt idx="313">
                  <c:v>76</c:v>
                </c:pt>
                <c:pt idx="314">
                  <c:v>118</c:v>
                </c:pt>
                <c:pt idx="315">
                  <c:v>91</c:v>
                </c:pt>
                <c:pt idx="316">
                  <c:v>81</c:v>
                </c:pt>
                <c:pt idx="317">
                  <c:v>107</c:v>
                </c:pt>
                <c:pt idx="318">
                  <c:v>118</c:v>
                </c:pt>
                <c:pt idx="319">
                  <c:v>83</c:v>
                </c:pt>
                <c:pt idx="320">
                  <c:v>112</c:v>
                </c:pt>
                <c:pt idx="321">
                  <c:v>120</c:v>
                </c:pt>
                <c:pt idx="322">
                  <c:v>92</c:v>
                </c:pt>
                <c:pt idx="323">
                  <c:v>76</c:v>
                </c:pt>
                <c:pt idx="324">
                  <c:v>108</c:v>
                </c:pt>
                <c:pt idx="325">
                  <c:v>86</c:v>
                </c:pt>
                <c:pt idx="326">
                  <c:v>93</c:v>
                </c:pt>
                <c:pt idx="327">
                  <c:v>71</c:v>
                </c:pt>
                <c:pt idx="328">
                  <c:v>111</c:v>
                </c:pt>
                <c:pt idx="329">
                  <c:v>86</c:v>
                </c:pt>
                <c:pt idx="330">
                  <c:v>120</c:v>
                </c:pt>
                <c:pt idx="331">
                  <c:v>82</c:v>
                </c:pt>
                <c:pt idx="332">
                  <c:v>75</c:v>
                </c:pt>
                <c:pt idx="333">
                  <c:v>80</c:v>
                </c:pt>
                <c:pt idx="334">
                  <c:v>75</c:v>
                </c:pt>
                <c:pt idx="335">
                  <c:v>101</c:v>
                </c:pt>
                <c:pt idx="336">
                  <c:v>84</c:v>
                </c:pt>
                <c:pt idx="337">
                  <c:v>101</c:v>
                </c:pt>
                <c:pt idx="338">
                  <c:v>115</c:v>
                </c:pt>
                <c:pt idx="339">
                  <c:v>113</c:v>
                </c:pt>
                <c:pt idx="340">
                  <c:v>96</c:v>
                </c:pt>
                <c:pt idx="341">
                  <c:v>70</c:v>
                </c:pt>
                <c:pt idx="342">
                  <c:v>87</c:v>
                </c:pt>
                <c:pt idx="343">
                  <c:v>108</c:v>
                </c:pt>
                <c:pt idx="344">
                  <c:v>117</c:v>
                </c:pt>
                <c:pt idx="345">
                  <c:v>93</c:v>
                </c:pt>
                <c:pt idx="346">
                  <c:v>112</c:v>
                </c:pt>
                <c:pt idx="347">
                  <c:v>78</c:v>
                </c:pt>
                <c:pt idx="348">
                  <c:v>112</c:v>
                </c:pt>
                <c:pt idx="349">
                  <c:v>87</c:v>
                </c:pt>
                <c:pt idx="350">
                  <c:v>107</c:v>
                </c:pt>
                <c:pt idx="351">
                  <c:v>109</c:v>
                </c:pt>
                <c:pt idx="352">
                  <c:v>79</c:v>
                </c:pt>
                <c:pt idx="353">
                  <c:v>119</c:v>
                </c:pt>
                <c:pt idx="354">
                  <c:v>88</c:v>
                </c:pt>
                <c:pt idx="355">
                  <c:v>102</c:v>
                </c:pt>
                <c:pt idx="356">
                  <c:v>106</c:v>
                </c:pt>
                <c:pt idx="357">
                  <c:v>110</c:v>
                </c:pt>
                <c:pt idx="358">
                  <c:v>105</c:v>
                </c:pt>
                <c:pt idx="359">
                  <c:v>100</c:v>
                </c:pt>
                <c:pt idx="360">
                  <c:v>75</c:v>
                </c:pt>
                <c:pt idx="361">
                  <c:v>87</c:v>
                </c:pt>
                <c:pt idx="362">
                  <c:v>84</c:v>
                </c:pt>
                <c:pt idx="363">
                  <c:v>89</c:v>
                </c:pt>
                <c:pt idx="364">
                  <c:v>105</c:v>
                </c:pt>
                <c:pt idx="365">
                  <c:v>74</c:v>
                </c:pt>
                <c:pt idx="366">
                  <c:v>72</c:v>
                </c:pt>
                <c:pt idx="367">
                  <c:v>110</c:v>
                </c:pt>
                <c:pt idx="368">
                  <c:v>111</c:v>
                </c:pt>
                <c:pt idx="369">
                  <c:v>120</c:v>
                </c:pt>
                <c:pt idx="370">
                  <c:v>75</c:v>
                </c:pt>
                <c:pt idx="371">
                  <c:v>112</c:v>
                </c:pt>
                <c:pt idx="372">
                  <c:v>120</c:v>
                </c:pt>
                <c:pt idx="373">
                  <c:v>98</c:v>
                </c:pt>
                <c:pt idx="374">
                  <c:v>99</c:v>
                </c:pt>
                <c:pt idx="375">
                  <c:v>71</c:v>
                </c:pt>
                <c:pt idx="376">
                  <c:v>93</c:v>
                </c:pt>
                <c:pt idx="377">
                  <c:v>92</c:v>
                </c:pt>
                <c:pt idx="378">
                  <c:v>80</c:v>
                </c:pt>
                <c:pt idx="379">
                  <c:v>71</c:v>
                </c:pt>
                <c:pt idx="380">
                  <c:v>97</c:v>
                </c:pt>
                <c:pt idx="381">
                  <c:v>71</c:v>
                </c:pt>
                <c:pt idx="382">
                  <c:v>92</c:v>
                </c:pt>
                <c:pt idx="383">
                  <c:v>110</c:v>
                </c:pt>
                <c:pt idx="384">
                  <c:v>115</c:v>
                </c:pt>
                <c:pt idx="385">
                  <c:v>100</c:v>
                </c:pt>
                <c:pt idx="386">
                  <c:v>104</c:v>
                </c:pt>
                <c:pt idx="387">
                  <c:v>102</c:v>
                </c:pt>
                <c:pt idx="388">
                  <c:v>97</c:v>
                </c:pt>
                <c:pt idx="389">
                  <c:v>85</c:v>
                </c:pt>
                <c:pt idx="390">
                  <c:v>79</c:v>
                </c:pt>
                <c:pt idx="391">
                  <c:v>96</c:v>
                </c:pt>
                <c:pt idx="392">
                  <c:v>107</c:v>
                </c:pt>
                <c:pt idx="393">
                  <c:v>76</c:v>
                </c:pt>
                <c:pt idx="394">
                  <c:v>104</c:v>
                </c:pt>
                <c:pt idx="395">
                  <c:v>111</c:v>
                </c:pt>
                <c:pt idx="396">
                  <c:v>119</c:v>
                </c:pt>
                <c:pt idx="397">
                  <c:v>100</c:v>
                </c:pt>
                <c:pt idx="398">
                  <c:v>91</c:v>
                </c:pt>
                <c:pt idx="399">
                  <c:v>93</c:v>
                </c:pt>
                <c:pt idx="400">
                  <c:v>79</c:v>
                </c:pt>
                <c:pt idx="401">
                  <c:v>114</c:v>
                </c:pt>
                <c:pt idx="402">
                  <c:v>86</c:v>
                </c:pt>
                <c:pt idx="403">
                  <c:v>102</c:v>
                </c:pt>
                <c:pt idx="404">
                  <c:v>96</c:v>
                </c:pt>
                <c:pt idx="405">
                  <c:v>74</c:v>
                </c:pt>
                <c:pt idx="406">
                  <c:v>113</c:v>
                </c:pt>
                <c:pt idx="407">
                  <c:v>107</c:v>
                </c:pt>
                <c:pt idx="408">
                  <c:v>115</c:v>
                </c:pt>
                <c:pt idx="409">
                  <c:v>108</c:v>
                </c:pt>
                <c:pt idx="410">
                  <c:v>101</c:v>
                </c:pt>
                <c:pt idx="411">
                  <c:v>98</c:v>
                </c:pt>
                <c:pt idx="412">
                  <c:v>108</c:v>
                </c:pt>
                <c:pt idx="413">
                  <c:v>111</c:v>
                </c:pt>
                <c:pt idx="414">
                  <c:v>101</c:v>
                </c:pt>
                <c:pt idx="415">
                  <c:v>116</c:v>
                </c:pt>
                <c:pt idx="416">
                  <c:v>98</c:v>
                </c:pt>
                <c:pt idx="417">
                  <c:v>82</c:v>
                </c:pt>
                <c:pt idx="418">
                  <c:v>98</c:v>
                </c:pt>
                <c:pt idx="419">
                  <c:v>82</c:v>
                </c:pt>
                <c:pt idx="420">
                  <c:v>116</c:v>
                </c:pt>
                <c:pt idx="421">
                  <c:v>85</c:v>
                </c:pt>
                <c:pt idx="422">
                  <c:v>96</c:v>
                </c:pt>
                <c:pt idx="423">
                  <c:v>88</c:v>
                </c:pt>
                <c:pt idx="424">
                  <c:v>120</c:v>
                </c:pt>
                <c:pt idx="425">
                  <c:v>114</c:v>
                </c:pt>
                <c:pt idx="426">
                  <c:v>110</c:v>
                </c:pt>
                <c:pt idx="427">
                  <c:v>99</c:v>
                </c:pt>
                <c:pt idx="428">
                  <c:v>99</c:v>
                </c:pt>
                <c:pt idx="429">
                  <c:v>103</c:v>
                </c:pt>
                <c:pt idx="430">
                  <c:v>90</c:v>
                </c:pt>
                <c:pt idx="431">
                  <c:v>74</c:v>
                </c:pt>
                <c:pt idx="432">
                  <c:v>105</c:v>
                </c:pt>
                <c:pt idx="433">
                  <c:v>97</c:v>
                </c:pt>
                <c:pt idx="434">
                  <c:v>115</c:v>
                </c:pt>
                <c:pt idx="435">
                  <c:v>117</c:v>
                </c:pt>
                <c:pt idx="436">
                  <c:v>81</c:v>
                </c:pt>
                <c:pt idx="437">
                  <c:v>117</c:v>
                </c:pt>
                <c:pt idx="438">
                  <c:v>120</c:v>
                </c:pt>
                <c:pt idx="439">
                  <c:v>120</c:v>
                </c:pt>
                <c:pt idx="440">
                  <c:v>74</c:v>
                </c:pt>
                <c:pt idx="441">
                  <c:v>81</c:v>
                </c:pt>
                <c:pt idx="442">
                  <c:v>113</c:v>
                </c:pt>
                <c:pt idx="443">
                  <c:v>73</c:v>
                </c:pt>
                <c:pt idx="444">
                  <c:v>80</c:v>
                </c:pt>
                <c:pt idx="445">
                  <c:v>107</c:v>
                </c:pt>
                <c:pt idx="446">
                  <c:v>105</c:v>
                </c:pt>
                <c:pt idx="447">
                  <c:v>86</c:v>
                </c:pt>
                <c:pt idx="448">
                  <c:v>102</c:v>
                </c:pt>
                <c:pt idx="449">
                  <c:v>83</c:v>
                </c:pt>
                <c:pt idx="450">
                  <c:v>101</c:v>
                </c:pt>
                <c:pt idx="451">
                  <c:v>82</c:v>
                </c:pt>
                <c:pt idx="452">
                  <c:v>99</c:v>
                </c:pt>
                <c:pt idx="453">
                  <c:v>120</c:v>
                </c:pt>
                <c:pt idx="454">
                  <c:v>106</c:v>
                </c:pt>
                <c:pt idx="455">
                  <c:v>93</c:v>
                </c:pt>
                <c:pt idx="456">
                  <c:v>71</c:v>
                </c:pt>
                <c:pt idx="457">
                  <c:v>72</c:v>
                </c:pt>
                <c:pt idx="458">
                  <c:v>83</c:v>
                </c:pt>
                <c:pt idx="459">
                  <c:v>108</c:v>
                </c:pt>
                <c:pt idx="460">
                  <c:v>78</c:v>
                </c:pt>
                <c:pt idx="461">
                  <c:v>120</c:v>
                </c:pt>
                <c:pt idx="462">
                  <c:v>87</c:v>
                </c:pt>
                <c:pt idx="463">
                  <c:v>106</c:v>
                </c:pt>
                <c:pt idx="464">
                  <c:v>117</c:v>
                </c:pt>
                <c:pt idx="465">
                  <c:v>73</c:v>
                </c:pt>
                <c:pt idx="466">
                  <c:v>120</c:v>
                </c:pt>
                <c:pt idx="467">
                  <c:v>103</c:v>
                </c:pt>
                <c:pt idx="468">
                  <c:v>118</c:v>
                </c:pt>
                <c:pt idx="469">
                  <c:v>87</c:v>
                </c:pt>
                <c:pt idx="470">
                  <c:v>115</c:v>
                </c:pt>
                <c:pt idx="471">
                  <c:v>100</c:v>
                </c:pt>
                <c:pt idx="472">
                  <c:v>93</c:v>
                </c:pt>
                <c:pt idx="473">
                  <c:v>71</c:v>
                </c:pt>
                <c:pt idx="474">
                  <c:v>117</c:v>
                </c:pt>
                <c:pt idx="475">
                  <c:v>100</c:v>
                </c:pt>
                <c:pt idx="476">
                  <c:v>86</c:v>
                </c:pt>
                <c:pt idx="477">
                  <c:v>99</c:v>
                </c:pt>
                <c:pt idx="478">
                  <c:v>72</c:v>
                </c:pt>
                <c:pt idx="479">
                  <c:v>100</c:v>
                </c:pt>
                <c:pt idx="480">
                  <c:v>83</c:v>
                </c:pt>
                <c:pt idx="481">
                  <c:v>90</c:v>
                </c:pt>
                <c:pt idx="482">
                  <c:v>94</c:v>
                </c:pt>
                <c:pt idx="483">
                  <c:v>119</c:v>
                </c:pt>
                <c:pt idx="484">
                  <c:v>90</c:v>
                </c:pt>
                <c:pt idx="485">
                  <c:v>102</c:v>
                </c:pt>
                <c:pt idx="486">
                  <c:v>112</c:v>
                </c:pt>
                <c:pt idx="487">
                  <c:v>72</c:v>
                </c:pt>
                <c:pt idx="488">
                  <c:v>78</c:v>
                </c:pt>
                <c:pt idx="489">
                  <c:v>89</c:v>
                </c:pt>
                <c:pt idx="490">
                  <c:v>94</c:v>
                </c:pt>
                <c:pt idx="491">
                  <c:v>84</c:v>
                </c:pt>
                <c:pt idx="492">
                  <c:v>108</c:v>
                </c:pt>
                <c:pt idx="493">
                  <c:v>76</c:v>
                </c:pt>
                <c:pt idx="494">
                  <c:v>106</c:v>
                </c:pt>
                <c:pt idx="495">
                  <c:v>76</c:v>
                </c:pt>
                <c:pt idx="496">
                  <c:v>120</c:v>
                </c:pt>
                <c:pt idx="497">
                  <c:v>82</c:v>
                </c:pt>
                <c:pt idx="498">
                  <c:v>103</c:v>
                </c:pt>
                <c:pt idx="499">
                  <c:v>120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BE-487D-9FE3-F72DC026935C}"/>
            </c:ext>
          </c:extLst>
        </c:ser>
        <c:ser>
          <c:idx val="1"/>
          <c:order val="1"/>
          <c:tx>
            <c:strRef>
              <c:f>Sheet2!$G$1</c:f>
              <c:strCache>
                <c:ptCount val="1"/>
                <c:pt idx="0">
                  <c:v>m1</c:v>
                </c:pt>
              </c:strCache>
            </c:strRef>
          </c:tx>
          <c:spPr>
            <a:ln w="25400" cap="rnd">
              <a:noFill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dLbl>
              <c:idx val="0"/>
              <c:layout>
                <c:manualLayout>
                  <c:x val="0.22300192193496071"/>
                  <c:y val="-2.821869488536155E-2"/>
                </c:manualLayout>
              </c:layout>
              <c:tx>
                <c:rich>
                  <a:bodyPr/>
                  <a:lstStyle/>
                  <a:p>
                    <a:fld id="{133B3DDC-8806-4ADD-BE66-268151724C8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FBE-487D-9FE3-F72DC026935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Sheet2!$H$1</c:f>
              <c:numCache>
                <c:formatCode>General</c:formatCode>
                <c:ptCount val="1"/>
                <c:pt idx="0">
                  <c:v>193.57723577235771</c:v>
                </c:pt>
              </c:numCache>
            </c:numRef>
          </c:xVal>
          <c:yVal>
            <c:numRef>
              <c:f>Sheet2!$I$1</c:f>
              <c:numCache>
                <c:formatCode>General</c:formatCode>
                <c:ptCount val="1"/>
                <c:pt idx="0">
                  <c:v>83.82113821138212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Sheet2!$G$1</c15:f>
                <c15:dlblRangeCache>
                  <c:ptCount val="1"/>
                  <c:pt idx="0">
                    <c:v>m1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1FBE-487D-9FE3-F72DC026935C}"/>
            </c:ext>
          </c:extLst>
        </c:ser>
        <c:ser>
          <c:idx val="2"/>
          <c:order val="2"/>
          <c:tx>
            <c:strRef>
              <c:f>Sheet2!$J$1</c:f>
              <c:strCache>
                <c:ptCount val="1"/>
                <c:pt idx="0">
                  <c:v>m2</c:v>
                </c:pt>
              </c:strCache>
            </c:strRef>
          </c:tx>
          <c:spPr>
            <a:ln w="25400" cap="rnd">
              <a:noFill/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rgbClr val="FFFF00"/>
              </a:solidFill>
              <a:ln>
                <a:noFill/>
              </a:ln>
              <a:effectLst>
                <a:glow rad="63500">
                  <a:schemeClr val="accent3">
                    <a:satMod val="175000"/>
                    <a:alpha val="25000"/>
                  </a:schemeClr>
                </a:glow>
              </a:effectLst>
            </c:spPr>
          </c:marker>
          <c:dLbls>
            <c:dLbl>
              <c:idx val="0"/>
              <c:layout>
                <c:manualLayout>
                  <c:x val="4.6783619986355392E-2"/>
                  <c:y val="-0.17283950617283955"/>
                </c:manualLayout>
              </c:layout>
              <c:tx>
                <c:rich>
                  <a:bodyPr/>
                  <a:lstStyle/>
                  <a:p>
                    <a:fld id="{39880539-6C0D-4EE1-9345-F5882F47E96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FBE-487D-9FE3-F72DC026935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Sheet2!$K$1</c:f>
              <c:numCache>
                <c:formatCode>General</c:formatCode>
                <c:ptCount val="1"/>
                <c:pt idx="0">
                  <c:v>91.102362204724415</c:v>
                </c:pt>
              </c:numCache>
            </c:numRef>
          </c:xVal>
          <c:yVal>
            <c:numRef>
              <c:f>Sheet2!$L$1</c:f>
              <c:numCache>
                <c:formatCode>General</c:formatCode>
                <c:ptCount val="1"/>
                <c:pt idx="0">
                  <c:v>58.748031496062993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Sheet2!$J$1</c15:f>
                <c15:dlblRangeCache>
                  <c:ptCount val="1"/>
                  <c:pt idx="0">
                    <c:v>m2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3-1FBE-487D-9FE3-F72DC02693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7550552"/>
        <c:axId val="519016264"/>
      </c:scatterChart>
      <c:valAx>
        <c:axId val="627550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016264"/>
        <c:crosses val="autoZero"/>
        <c:crossBetween val="midCat"/>
      </c:valAx>
      <c:valAx>
        <c:axId val="519016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550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95249</xdr:colOff>
      <xdr:row>0</xdr:row>
      <xdr:rowOff>142875</xdr:rowOff>
    </xdr:from>
    <xdr:ext cx="2924175" cy="135261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 txBox="1"/>
          </xdr:nvSpPr>
          <xdr:spPr>
            <a:xfrm>
              <a:off x="95249" y="142875"/>
              <a:ext cx="2924175" cy="1352614"/>
            </a:xfrm>
            <a:prstGeom prst="rect">
              <a:avLst/>
            </a:prstGeom>
            <a:noFill/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IN" sz="1200" b="1" i="1" u="none">
                  <a:latin typeface="Cambria Math" panose="02040503050406030204" pitchFamily="18" charset="0"/>
                </a:rPr>
                <a:t> Mean (Cluster all Data into 1 Cluster)</a:t>
              </a:r>
            </a:p>
            <a:p>
              <a:r>
                <a:rPr lang="en-IN" sz="1200" b="0" i="1">
                  <a:latin typeface="Cambria Math" panose="02040503050406030204" pitchFamily="18" charset="0"/>
                </a:rPr>
                <a:t> Data : x1, x2, .... xn</a:t>
              </a:r>
            </a:p>
            <a:p>
              <a:r>
                <a:rPr lang="en-IN" sz="1200" b="0" i="1">
                  <a:latin typeface="Cambria Math" panose="02040503050406030204" pitchFamily="18" charset="0"/>
                </a:rPr>
                <a:t> Parameter : m</a:t>
              </a:r>
            </a:p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IN" sz="12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IN" sz="1200" b="0" i="1">
                        <a:latin typeface="Cambria Math" panose="02040503050406030204" pitchFamily="18" charset="0"/>
                      </a:rPr>
                      <m:t>𝐽</m:t>
                    </m:r>
                    <m:r>
                      <a:rPr lang="en-IN" sz="1200" b="0" i="1">
                        <a:latin typeface="Cambria Math" panose="02040503050406030204" pitchFamily="18" charset="0"/>
                      </a:rPr>
                      <m:t> </m:t>
                    </m:r>
                    <m:d>
                      <m:dPr>
                        <m:ctrlPr>
                          <a:rPr lang="en-IN" sz="12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IN" sz="1200" b="0" i="1">
                            <a:latin typeface="Cambria Math" panose="02040503050406030204" pitchFamily="18" charset="0"/>
                          </a:rPr>
                          <m:t>𝑚</m:t>
                        </m:r>
                      </m:e>
                    </m:d>
                    <m:r>
                      <a:rPr lang="en-IN" sz="1200" b="0" i="1">
                        <a:latin typeface="Cambria Math" panose="02040503050406030204" pitchFamily="18" charset="0"/>
                      </a:rPr>
                      <m:t>=  </m:t>
                    </m:r>
                    <m:sSup>
                      <m:sSupPr>
                        <m:ctrlPr>
                          <a:rPr lang="en-IN" sz="12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m:rPr>
                            <m:sty m:val="p"/>
                          </m:rPr>
                          <a:rPr lang="el-GR" sz="12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Σ</m:t>
                        </m:r>
                        <m:r>
                          <a:rPr lang="en-IN" sz="12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d>
                          <m:dPr>
                            <m:ctrlPr>
                              <a:rPr lang="en-IN" sz="12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n-IN" sz="1200" b="0" i="1">
                                <a:latin typeface="Cambria Math" panose="02040503050406030204" pitchFamily="18" charset="0"/>
                              </a:rPr>
                              <m:t>𝑚</m:t>
                            </m:r>
                            <m:r>
                              <a:rPr lang="en-IN" sz="1200" b="0" i="1">
                                <a:latin typeface="Cambria Math" panose="02040503050406030204" pitchFamily="18" charset="0"/>
                              </a:rPr>
                              <m:t>−</m:t>
                            </m:r>
                            <m:r>
                              <a:rPr lang="en-IN" sz="1200" b="0" i="1">
                                <a:latin typeface="Cambria Math" panose="02040503050406030204" pitchFamily="18" charset="0"/>
                              </a:rPr>
                              <m:t>𝑥𝑖</m:t>
                            </m:r>
                          </m:e>
                        </m:d>
                      </m:e>
                      <m:sup>
                        <m:r>
                          <a:rPr lang="en-IN" sz="12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en-IN" sz="1200" b="0"/>
            </a:p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f>
                      <m:fPr>
                        <m:ctrlPr>
                          <a:rPr lang="en-IN" sz="12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IN" sz="12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en-IN" sz="12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𝜕</m:t>
                        </m:r>
                        <m:r>
                          <a:rPr lang="en-IN" sz="12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𝐽</m:t>
                        </m:r>
                        <m:d>
                          <m:dPr>
                            <m:ctrlPr>
                              <a:rPr lang="en-IN" sz="12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n-IN" sz="12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𝑚</m:t>
                            </m:r>
                          </m:e>
                        </m:d>
                      </m:num>
                      <m:den>
                        <m:r>
                          <a:rPr lang="en-IN" sz="12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𝜕</m:t>
                        </m:r>
                        <m:r>
                          <a:rPr lang="en-IN" sz="12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</m:t>
                        </m:r>
                      </m:den>
                    </m:f>
                    <m:r>
                      <a:rPr lang="en-IN" sz="12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=0</m:t>
                    </m:r>
                  </m:oMath>
                </m:oMathPara>
              </a14:m>
              <a:endParaRPr lang="en-IN" sz="1200" b="0" i="1">
                <a:latin typeface="Cambria Math" panose="02040503050406030204" pitchFamily="18" charset="0"/>
                <a:ea typeface="Cambria Math" panose="02040503050406030204" pitchFamily="18" charset="0"/>
              </a:endParaRPr>
            </a:p>
            <a:p>
              <a:r>
                <a:rPr lang="en-IN" sz="1200" b="0">
                  <a:ea typeface="Cambria Math" panose="02040503050406030204" pitchFamily="18" charset="0"/>
                </a:rPr>
                <a:t> </a:t>
              </a:r>
              <a14:m>
                <m:oMath xmlns:m="http://schemas.openxmlformats.org/officeDocument/2006/math">
                  <m:r>
                    <a:rPr lang="en-IN" sz="12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𝑚</m:t>
                  </m:r>
                  <m:r>
                    <a:rPr lang="en-IN" sz="12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=</m:t>
                  </m:r>
                  <m:f>
                    <m:fPr>
                      <m:ctrlPr>
                        <a:rPr lang="en-IN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fPr>
                    <m:num>
                      <m:r>
                        <a:rPr lang="en-IN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a:rPr lang="en-IN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𝑛</m:t>
                      </m:r>
                    </m:den>
                  </m:f>
                  <m:r>
                    <a:rPr lang="en-IN" sz="12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 </m:t>
                  </m:r>
                  <m:r>
                    <m:rPr>
                      <m:sty m:val="p"/>
                    </m:rPr>
                    <a:rPr lang="el-GR" sz="12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Σ</m:t>
                  </m:r>
                  <m:r>
                    <a:rPr lang="en-IN" sz="12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 </m:t>
                  </m:r>
                  <m:r>
                    <a:rPr lang="en-IN" sz="12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𝑥𝑖</m:t>
                  </m:r>
                </m:oMath>
              </a14:m>
              <a:endParaRPr lang="en-IN" sz="12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17B04B5-F005-46EF-9C42-7FC92B3B7D3C}"/>
                </a:ext>
              </a:extLst>
            </xdr:cNvPr>
            <xdr:cNvSpPr txBox="1"/>
          </xdr:nvSpPr>
          <xdr:spPr>
            <a:xfrm>
              <a:off x="95249" y="142875"/>
              <a:ext cx="2924175" cy="1352614"/>
            </a:xfrm>
            <a:prstGeom prst="rect">
              <a:avLst/>
            </a:prstGeom>
            <a:noFill/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IN" sz="1200" b="1" i="1" u="none">
                  <a:latin typeface="Cambria Math" panose="02040503050406030204" pitchFamily="18" charset="0"/>
                </a:rPr>
                <a:t> Mean (Cluster all Data into 1 Cluster)</a:t>
              </a:r>
            </a:p>
            <a:p>
              <a:pPr/>
              <a:r>
                <a:rPr lang="en-IN" sz="1200" b="0" i="1">
                  <a:latin typeface="Cambria Math" panose="02040503050406030204" pitchFamily="18" charset="0"/>
                </a:rPr>
                <a:t> Data : x1, x2, .... xn</a:t>
              </a:r>
            </a:p>
            <a:p>
              <a:pPr/>
              <a:r>
                <a:rPr lang="en-IN" sz="1200" b="0" i="1">
                  <a:latin typeface="Cambria Math" panose="02040503050406030204" pitchFamily="18" charset="0"/>
                </a:rPr>
                <a:t> Parameter : m</a:t>
              </a:r>
            </a:p>
            <a:p>
              <a:pPr/>
              <a:r>
                <a:rPr lang="en-IN" sz="1200" b="0" i="0">
                  <a:latin typeface="Cambria Math" panose="02040503050406030204" pitchFamily="18" charset="0"/>
                </a:rPr>
                <a:t> 𝐽 (𝑚)=  〖</a:t>
              </a:r>
              <a:r>
                <a:rPr lang="el-GR" sz="12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Σ</a:t>
              </a:r>
              <a:r>
                <a:rPr lang="en-IN" sz="12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(</a:t>
              </a:r>
              <a:r>
                <a:rPr lang="en-IN" sz="1200" b="0" i="0">
                  <a:latin typeface="Cambria Math" panose="02040503050406030204" pitchFamily="18" charset="0"/>
                </a:rPr>
                <a:t>𝑚−𝑥𝑖)〗^2</a:t>
              </a:r>
              <a:endParaRPr lang="en-IN" sz="1200" b="0"/>
            </a:p>
            <a:p>
              <a:pPr/>
              <a:r>
                <a:rPr lang="en-IN" sz="12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( 𝜕𝐽(𝑚))/𝜕𝑚=0</a:t>
              </a:r>
              <a:endParaRPr lang="en-IN" sz="1200" b="0" i="1">
                <a:latin typeface="Cambria Math" panose="02040503050406030204" pitchFamily="18" charset="0"/>
                <a:ea typeface="Cambria Math" panose="02040503050406030204" pitchFamily="18" charset="0"/>
              </a:endParaRPr>
            </a:p>
            <a:p>
              <a:pPr/>
              <a:r>
                <a:rPr lang="en-IN" sz="1200" b="0">
                  <a:ea typeface="Cambria Math" panose="02040503050406030204" pitchFamily="18" charset="0"/>
                </a:rPr>
                <a:t> </a:t>
              </a:r>
              <a:r>
                <a:rPr lang="en-IN" sz="12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𝑚=1/𝑛  </a:t>
              </a:r>
              <a:r>
                <a:rPr lang="el-GR" sz="12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Σ</a:t>
              </a:r>
              <a:r>
                <a:rPr lang="en-IN" sz="12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𝑥𝑖</a:t>
              </a:r>
              <a:endParaRPr lang="en-IN" sz="1200"/>
            </a:p>
          </xdr:txBody>
        </xdr:sp>
      </mc:Fallback>
    </mc:AlternateContent>
    <xdr:clientData/>
  </xdr:oneCellAnchor>
  <xdr:oneCellAnchor>
    <xdr:from>
      <xdr:col>6</xdr:col>
      <xdr:colOff>9525</xdr:colOff>
      <xdr:row>0</xdr:row>
      <xdr:rowOff>133350</xdr:rowOff>
    </xdr:from>
    <xdr:ext cx="3057525" cy="108228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 txBox="1"/>
          </xdr:nvSpPr>
          <xdr:spPr>
            <a:xfrm>
              <a:off x="3667125" y="133350"/>
              <a:ext cx="3057525" cy="1082284"/>
            </a:xfrm>
            <a:prstGeom prst="rect">
              <a:avLst/>
            </a:prstGeom>
            <a:noFill/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IN" sz="1200" b="1" i="1" u="none">
                  <a:latin typeface="Cambria Math" panose="02040503050406030204" pitchFamily="18" charset="0"/>
                </a:rPr>
                <a:t> Mean (Cluster all Data into 1 Cluster)</a:t>
              </a:r>
            </a:p>
            <a:p>
              <a:r>
                <a:rPr lang="en-IN" sz="1200" b="0" i="1">
                  <a:latin typeface="Cambria Math" panose="02040503050406030204" pitchFamily="18" charset="0"/>
                </a:rPr>
                <a:t> Data : x1, x2, .... xn</a:t>
              </a:r>
            </a:p>
            <a:p>
              <a:r>
                <a:rPr lang="en-IN" sz="1200" b="0" i="1">
                  <a:latin typeface="Cambria Math" panose="02040503050406030204" pitchFamily="18" charset="0"/>
                </a:rPr>
                <a:t> Parameter : m1, m2, .....mk</a:t>
              </a:r>
            </a:p>
            <a:p>
              <a:r>
                <a:rPr lang="en-IN" sz="1200" b="0" i="1">
                  <a:latin typeface="Cambria Math" panose="02040503050406030204" pitchFamily="18" charset="0"/>
                </a:rPr>
                <a:t>Each data</a:t>
              </a:r>
              <a:r>
                <a:rPr lang="en-IN" sz="1200" b="0" i="1" baseline="0">
                  <a:latin typeface="Cambria Math" panose="02040503050406030204" pitchFamily="18" charset="0"/>
                </a:rPr>
                <a:t> point belong to 1 cluster ONLY</a:t>
              </a:r>
            </a:p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IN" sz="12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𝛿</m:t>
                    </m:r>
                    <m:r>
                      <a:rPr lang="en-IN" sz="12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𝑛</m:t>
                    </m:r>
                    <m:r>
                      <a:rPr lang="en-IN" sz="12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,</m:t>
                    </m:r>
                    <m:r>
                      <a:rPr lang="en-IN" sz="12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𝑘</m:t>
                    </m:r>
                    <m:r>
                      <a:rPr lang="en-IN" sz="12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=1 </m:t>
                    </m:r>
                    <m:r>
                      <a:rPr lang="en-IN" sz="12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𝑜𝑟</m:t>
                    </m:r>
                    <m:r>
                      <a:rPr lang="en-IN" sz="12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0</m:t>
                    </m:r>
                  </m:oMath>
                </m:oMathPara>
              </a14:m>
              <a:endParaRPr lang="en-IN" sz="1200" b="0" i="1">
                <a:latin typeface="Cambria Math" panose="02040503050406030204" pitchFamily="18" charset="0"/>
                <a:ea typeface="Cambria Math" panose="02040503050406030204" pitchFamily="18" charset="0"/>
              </a:endParaRPr>
            </a:p>
            <a:p>
              <a:pPr algn="l"/>
              <a14:m>
                <m:oMath xmlns:m="http://schemas.openxmlformats.org/officeDocument/2006/math">
                  <m:r>
                    <m:rPr>
                      <m:sty m:val="p"/>
                    </m:rPr>
                    <a:rPr lang="el-GR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Σ</m:t>
                  </m:r>
                  <m:r>
                    <a:rPr lang="en-IN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 </m:t>
                  </m:r>
                  <m:r>
                    <m:rPr>
                      <m:sty m:val="p"/>
                    </m:rPr>
                    <a:rPr lang="el-GR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Σ</m:t>
                  </m:r>
                  <m:r>
                    <a:rPr lang="en-IN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 </m:t>
                  </m:r>
                  <m:r>
                    <a:rPr lang="en-IN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𝛿</m:t>
                  </m:r>
                  <m:r>
                    <a:rPr lang="en-IN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𝑛</m:t>
                  </m:r>
                  <m:r>
                    <a:rPr lang="en-IN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,</m:t>
                  </m:r>
                  <m:r>
                    <a:rPr lang="en-IN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𝑘</m:t>
                  </m:r>
                </m:oMath>
              </a14:m>
              <a:r>
                <a:rPr lang="en-IN" sz="1200" b="0" i="1">
                  <a:latin typeface="Cambria Math" panose="02040503050406030204" pitchFamily="18" charset="0"/>
                  <a:ea typeface="Cambria Math" panose="02040503050406030204" pitchFamily="18" charset="0"/>
                </a:rPr>
                <a:t> (Xn</a:t>
              </a:r>
              <a:r>
                <a:rPr lang="en-IN" sz="1200" b="0" i="1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 - mk)^2 </a:t>
              </a:r>
              <a:endParaRPr lang="en-IN" sz="1200" b="0" i="1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13037B9-FF3C-4E77-A09E-A81A9AE82A69}"/>
                </a:ext>
              </a:extLst>
            </xdr:cNvPr>
            <xdr:cNvSpPr txBox="1"/>
          </xdr:nvSpPr>
          <xdr:spPr>
            <a:xfrm>
              <a:off x="3667125" y="133350"/>
              <a:ext cx="3057525" cy="1082284"/>
            </a:xfrm>
            <a:prstGeom prst="rect">
              <a:avLst/>
            </a:prstGeom>
            <a:noFill/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IN" sz="1200" b="1" i="1" u="none">
                  <a:latin typeface="Cambria Math" panose="02040503050406030204" pitchFamily="18" charset="0"/>
                </a:rPr>
                <a:t> Mean (Cluster all Data into 1 Cluster)</a:t>
              </a:r>
            </a:p>
            <a:p>
              <a:pPr/>
              <a:r>
                <a:rPr lang="en-IN" sz="1200" b="0" i="1">
                  <a:latin typeface="Cambria Math" panose="02040503050406030204" pitchFamily="18" charset="0"/>
                </a:rPr>
                <a:t> Data : x1, x2, .... xn</a:t>
              </a:r>
            </a:p>
            <a:p>
              <a:pPr/>
              <a:r>
                <a:rPr lang="en-IN" sz="1200" b="0" i="1">
                  <a:latin typeface="Cambria Math" panose="02040503050406030204" pitchFamily="18" charset="0"/>
                </a:rPr>
                <a:t> Parameter : m1, m2, .....mk</a:t>
              </a:r>
            </a:p>
            <a:p>
              <a:pPr/>
              <a:r>
                <a:rPr lang="en-IN" sz="1200" b="0" i="1">
                  <a:latin typeface="Cambria Math" panose="02040503050406030204" pitchFamily="18" charset="0"/>
                </a:rPr>
                <a:t>Each data</a:t>
              </a:r>
              <a:r>
                <a:rPr lang="en-IN" sz="1200" b="0" i="1" baseline="0">
                  <a:latin typeface="Cambria Math" panose="02040503050406030204" pitchFamily="18" charset="0"/>
                </a:rPr>
                <a:t> point belong to 1 cluster ONLY</a:t>
              </a:r>
            </a:p>
            <a:p>
              <a:pPr/>
              <a:r>
                <a:rPr lang="en-IN" sz="12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𝛿𝑛,𝑘=1 𝑜𝑟 0</a:t>
              </a:r>
              <a:endParaRPr lang="en-IN" sz="1200" b="0" i="1">
                <a:latin typeface="Cambria Math" panose="02040503050406030204" pitchFamily="18" charset="0"/>
                <a:ea typeface="Cambria Math" panose="02040503050406030204" pitchFamily="18" charset="0"/>
              </a:endParaRPr>
            </a:p>
            <a:p>
              <a:pPr algn="l"/>
              <a:r>
                <a:rPr lang="el-G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Σ</a:t>
              </a:r>
              <a:r>
                <a:rPr lang="en-IN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</a:t>
              </a:r>
              <a:r>
                <a:rPr lang="el-G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Σ</a:t>
              </a:r>
              <a:r>
                <a:rPr lang="en-IN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</a:t>
              </a:r>
              <a:r>
                <a:rPr lang="en-IN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𝛿𝑛,𝑘</a:t>
              </a:r>
              <a:r>
                <a:rPr lang="en-IN" sz="1200" b="0" i="1">
                  <a:latin typeface="Cambria Math" panose="02040503050406030204" pitchFamily="18" charset="0"/>
                  <a:ea typeface="Cambria Math" panose="02040503050406030204" pitchFamily="18" charset="0"/>
                </a:rPr>
                <a:t> (Xn</a:t>
              </a:r>
              <a:r>
                <a:rPr lang="en-IN" sz="1200" b="0" i="1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 - mk)^2 </a:t>
              </a:r>
              <a:endParaRPr lang="en-IN" sz="1200" b="0" i="1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38099</xdr:colOff>
      <xdr:row>3</xdr:row>
      <xdr:rowOff>66675</xdr:rowOff>
    </xdr:from>
    <xdr:to>
      <xdr:col>19</xdr:col>
      <xdr:colOff>219075</xdr:colOff>
      <xdr:row>22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333375</xdr:colOff>
          <xdr:row>0</xdr:row>
          <xdr:rowOff>152400</xdr:rowOff>
        </xdr:from>
        <xdr:to>
          <xdr:col>18</xdr:col>
          <xdr:colOff>295275</xdr:colOff>
          <xdr:row>2</xdr:row>
          <xdr:rowOff>152400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0.78888</cdr:x>
      <cdr:y>0.01042</cdr:y>
    </cdr:from>
    <cdr:to>
      <cdr:x>0.98888</cdr:x>
      <cdr:y>0.09722</cdr:y>
    </cdr:to>
    <cdr:sp macro="" textlink="Sheet2!$O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7BAC05E-1B3E-46B5-9F31-582A365D64C0}"/>
            </a:ext>
          </a:extLst>
        </cdr:cNvPr>
        <cdr:cNvSpPr txBox="1"/>
      </cdr:nvSpPr>
      <cdr:spPr>
        <a:xfrm xmlns:a="http://schemas.openxmlformats.org/drawingml/2006/main">
          <a:off x="3636804" y="28575"/>
          <a:ext cx="922020" cy="2381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 anchor="ctr"/>
        <a:lstStyle xmlns:a="http://schemas.openxmlformats.org/drawingml/2006/main"/>
        <a:p xmlns:a="http://schemas.openxmlformats.org/drawingml/2006/main">
          <a:pPr algn="ctr"/>
          <a:fld id="{BCF4CE6B-E734-47FB-AF99-0D4603ABB5A2}" type="TxLink">
            <a:rPr lang="en-US" sz="1100" b="0" i="0" u="none" strike="noStrike">
              <a:solidFill>
                <a:schemeClr val="bg1"/>
              </a:solidFill>
              <a:latin typeface="Calibri"/>
            </a:rPr>
            <a:pPr algn="ctr"/>
            <a:t>Iteration 10</a:t>
          </a:fld>
          <a:endParaRPr lang="en-IN" sz="1100">
            <a:solidFill>
              <a:schemeClr val="bg1"/>
            </a:solidFill>
          </a:endParaRP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G8:K8"/>
  <sheetViews>
    <sheetView workbookViewId="0">
      <selection activeCell="K9" sqref="K9"/>
    </sheetView>
  </sheetViews>
  <sheetFormatPr defaultRowHeight="15" x14ac:dyDescent="0.25"/>
  <cols>
    <col min="1" max="16384" width="9.140625" style="1"/>
  </cols>
  <sheetData>
    <row r="8" spans="7:11" x14ac:dyDescent="0.25">
      <c r="G8" s="1" t="s">
        <v>0</v>
      </c>
      <c r="K8" s="1" t="s">
        <v>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99D267-3FBB-401F-896F-3E7E4AA8B9B2}">
  <sheetPr codeName="Sheet2"/>
  <dimension ref="A1:P501"/>
  <sheetViews>
    <sheetView tabSelected="1" workbookViewId="0"/>
  </sheetViews>
  <sheetFormatPr defaultRowHeight="15" x14ac:dyDescent="0.25"/>
  <cols>
    <col min="1" max="3" width="9.140625" style="1"/>
    <col min="4" max="4" width="9.5703125" style="1" bestFit="1" customWidth="1"/>
    <col min="5" max="7" width="9.140625" style="1"/>
    <col min="8" max="8" width="9.5703125" style="1" bestFit="1" customWidth="1"/>
    <col min="9" max="9" width="9.28515625" style="1" bestFit="1" customWidth="1"/>
    <col min="10" max="16384" width="9.140625" style="1"/>
  </cols>
  <sheetData>
    <row r="1" spans="1:16" x14ac:dyDescent="0.25">
      <c r="A1" s="3" t="s">
        <v>2</v>
      </c>
      <c r="B1" s="3" t="s">
        <v>38</v>
      </c>
      <c r="C1" s="3" t="s">
        <v>39</v>
      </c>
      <c r="D1" s="3" t="s">
        <v>33</v>
      </c>
      <c r="E1" s="3" t="s">
        <v>34</v>
      </c>
      <c r="F1" s="3" t="s">
        <v>35</v>
      </c>
      <c r="G1" s="2" t="s">
        <v>33</v>
      </c>
      <c r="H1" s="5">
        <v>193.57723577235771</v>
      </c>
      <c r="I1" s="5">
        <v>83.82113821138212</v>
      </c>
      <c r="J1" s="2" t="s">
        <v>34</v>
      </c>
      <c r="K1" s="5">
        <v>91.102362204724415</v>
      </c>
      <c r="L1" s="5">
        <v>58.748031496062993</v>
      </c>
      <c r="N1" s="1" t="s">
        <v>36</v>
      </c>
      <c r="O1" s="1" t="str">
        <f>CONCATENATE(N1,P1)</f>
        <v>Iteration 10</v>
      </c>
      <c r="P1" s="1">
        <v>10</v>
      </c>
    </row>
    <row r="2" spans="1:16" x14ac:dyDescent="0.25">
      <c r="A2" s="2" t="s">
        <v>3</v>
      </c>
      <c r="B2" s="2">
        <v>87</v>
      </c>
      <c r="C2" s="2">
        <v>17</v>
      </c>
      <c r="D2" s="6">
        <f>SQRT(((B2-$H$1)^2+(C2-$I$1)^2))</f>
        <v>125.79257409219892</v>
      </c>
      <c r="E2" s="6">
        <f>SQRT(((B2-$K$1)^2+(C2-$L$1)^2))</f>
        <v>41.949106181836804</v>
      </c>
      <c r="F2" s="4" t="str">
        <f t="shared" ref="F2:F31" si="0">IF(MIN(D2:E2)=D2,$D$1,$E$1)</f>
        <v>m2</v>
      </c>
      <c r="G2" s="2" t="str">
        <f>G1</f>
        <v>m1</v>
      </c>
      <c r="H2" s="5">
        <f>AVERAGEIFS(B:B,F:F,G1)</f>
        <v>193.57723577235771</v>
      </c>
      <c r="I2" s="5">
        <f>AVERAGEIFS(C:C,F:F,G1)</f>
        <v>83.82113821138212</v>
      </c>
      <c r="J2" s="2" t="str">
        <f>J1</f>
        <v>m2</v>
      </c>
      <c r="K2" s="5">
        <f>AVERAGEIFS(B:B,F:F,J1)</f>
        <v>91.102362204724415</v>
      </c>
      <c r="L2" s="5">
        <f>AVERAGEIFS(C:C,F:F,J1)</f>
        <v>58.748031496062993</v>
      </c>
    </row>
    <row r="3" spans="1:16" x14ac:dyDescent="0.25">
      <c r="A3" s="2" t="s">
        <v>4</v>
      </c>
      <c r="B3" s="2">
        <v>118</v>
      </c>
      <c r="C3" s="2">
        <v>58</v>
      </c>
      <c r="D3" s="4">
        <f t="shared" ref="D3:D31" si="1">SQRT(((B3-$H$1)^2+(C3-$I$1)^2))</f>
        <v>79.866449436054452</v>
      </c>
      <c r="E3" s="4">
        <f t="shared" ref="E3:E31" si="2">SQRT(((B3-$K$1)^2+(C3-$L$1)^2))</f>
        <v>26.908037276712321</v>
      </c>
      <c r="F3" s="4" t="str">
        <f t="shared" si="0"/>
        <v>m2</v>
      </c>
      <c r="G3" s="1" t="s">
        <v>37</v>
      </c>
      <c r="H3" s="1">
        <f>ABS(H1-H2)</f>
        <v>0</v>
      </c>
      <c r="I3" s="1">
        <f>ABS(I1-I2)</f>
        <v>0</v>
      </c>
      <c r="K3" s="1">
        <f>ABS(K1-K2)</f>
        <v>0</v>
      </c>
      <c r="L3" s="1">
        <f>ABS(L1-L2)</f>
        <v>0</v>
      </c>
      <c r="M3" s="1">
        <f>ROUND(SUM(H3:L3),0)</f>
        <v>0</v>
      </c>
    </row>
    <row r="4" spans="1:16" x14ac:dyDescent="0.25">
      <c r="A4" s="2" t="s">
        <v>5</v>
      </c>
      <c r="B4" s="2">
        <v>26</v>
      </c>
      <c r="C4" s="2">
        <v>50</v>
      </c>
      <c r="D4" s="4">
        <f t="shared" si="1"/>
        <v>170.95613279147892</v>
      </c>
      <c r="E4" s="4">
        <f t="shared" si="2"/>
        <v>65.687484498123695</v>
      </c>
      <c r="F4" s="4" t="str">
        <f t="shared" si="0"/>
        <v>m2</v>
      </c>
    </row>
    <row r="5" spans="1:16" x14ac:dyDescent="0.25">
      <c r="A5" s="2" t="s">
        <v>6</v>
      </c>
      <c r="B5" s="2">
        <v>145</v>
      </c>
      <c r="C5" s="2">
        <v>37</v>
      </c>
      <c r="D5" s="4">
        <f t="shared" si="1"/>
        <v>67.468265271107839</v>
      </c>
      <c r="E5" s="4">
        <f t="shared" si="2"/>
        <v>58.119981364970066</v>
      </c>
      <c r="F5" s="4" t="str">
        <f t="shared" si="0"/>
        <v>m2</v>
      </c>
    </row>
    <row r="6" spans="1:16" x14ac:dyDescent="0.25">
      <c r="A6" s="2" t="s">
        <v>7</v>
      </c>
      <c r="B6" s="2">
        <v>104</v>
      </c>
      <c r="C6" s="2">
        <v>40</v>
      </c>
      <c r="D6" s="4">
        <f t="shared" si="1"/>
        <v>99.721478743336007</v>
      </c>
      <c r="E6" s="4">
        <f t="shared" si="2"/>
        <v>22.756048551439928</v>
      </c>
      <c r="F6" s="4" t="str">
        <f t="shared" si="0"/>
        <v>m2</v>
      </c>
    </row>
    <row r="7" spans="1:16" x14ac:dyDescent="0.25">
      <c r="A7" s="2" t="s">
        <v>8</v>
      </c>
      <c r="B7" s="2">
        <v>136</v>
      </c>
      <c r="C7" s="2">
        <v>29</v>
      </c>
      <c r="D7" s="4">
        <f t="shared" si="1"/>
        <v>79.501542588663824</v>
      </c>
      <c r="E7" s="4">
        <f t="shared" si="2"/>
        <v>53.858548601744872</v>
      </c>
      <c r="F7" s="4" t="str">
        <f t="shared" si="0"/>
        <v>m2</v>
      </c>
    </row>
    <row r="8" spans="1:16" x14ac:dyDescent="0.25">
      <c r="A8" s="2" t="s">
        <v>9</v>
      </c>
      <c r="B8" s="2">
        <v>141</v>
      </c>
      <c r="C8" s="2">
        <v>55</v>
      </c>
      <c r="D8" s="4">
        <f t="shared" si="1"/>
        <v>59.958516736671207</v>
      </c>
      <c r="E8" s="4">
        <f t="shared" si="2"/>
        <v>50.038205379929387</v>
      </c>
      <c r="F8" s="4" t="str">
        <f t="shared" si="0"/>
        <v>m2</v>
      </c>
    </row>
    <row r="9" spans="1:16" x14ac:dyDescent="0.25">
      <c r="A9" s="2" t="s">
        <v>10</v>
      </c>
      <c r="B9" s="2">
        <v>80</v>
      </c>
      <c r="C9" s="2">
        <v>24</v>
      </c>
      <c r="D9" s="4">
        <f t="shared" si="1"/>
        <v>128.36805312302207</v>
      </c>
      <c r="E9" s="4">
        <f t="shared" si="2"/>
        <v>36.47859837461246</v>
      </c>
      <c r="F9" s="4" t="str">
        <f t="shared" si="0"/>
        <v>m2</v>
      </c>
    </row>
    <row r="10" spans="1:16" x14ac:dyDescent="0.25">
      <c r="A10" s="2" t="s">
        <v>11</v>
      </c>
      <c r="B10" s="2">
        <v>73</v>
      </c>
      <c r="C10" s="2">
        <v>59</v>
      </c>
      <c r="D10" s="4">
        <f t="shared" si="1"/>
        <v>123.10547789847239</v>
      </c>
      <c r="E10" s="4">
        <f t="shared" si="2"/>
        <v>18.104115706601391</v>
      </c>
      <c r="F10" s="4" t="str">
        <f t="shared" si="0"/>
        <v>m2</v>
      </c>
    </row>
    <row r="11" spans="1:16" x14ac:dyDescent="0.25">
      <c r="A11" s="2" t="s">
        <v>12</v>
      </c>
      <c r="B11" s="2">
        <v>73</v>
      </c>
      <c r="C11" s="2">
        <v>56</v>
      </c>
      <c r="D11" s="4">
        <f t="shared" si="1"/>
        <v>123.74524442530939</v>
      </c>
      <c r="E11" s="4">
        <f t="shared" si="2"/>
        <v>18.309756811448622</v>
      </c>
      <c r="F11" s="4" t="str">
        <f t="shared" si="0"/>
        <v>m2</v>
      </c>
    </row>
    <row r="12" spans="1:16" x14ac:dyDescent="0.25">
      <c r="A12" s="2" t="s">
        <v>13</v>
      </c>
      <c r="B12" s="2">
        <v>43</v>
      </c>
      <c r="C12" s="2">
        <v>43</v>
      </c>
      <c r="D12" s="4">
        <f t="shared" si="1"/>
        <v>156.01240097414362</v>
      </c>
      <c r="E12" s="4">
        <f t="shared" si="2"/>
        <v>50.614600123635192</v>
      </c>
      <c r="F12" s="4" t="str">
        <f t="shared" si="0"/>
        <v>m2</v>
      </c>
    </row>
    <row r="13" spans="1:16" x14ac:dyDescent="0.25">
      <c r="A13" s="2" t="s">
        <v>14</v>
      </c>
      <c r="B13" s="2">
        <v>118</v>
      </c>
      <c r="C13" s="2">
        <v>52</v>
      </c>
      <c r="D13" s="4">
        <f t="shared" si="1"/>
        <v>82.003069479492225</v>
      </c>
      <c r="E13" s="4">
        <f t="shared" si="2"/>
        <v>27.731189084453192</v>
      </c>
      <c r="F13" s="4" t="str">
        <f t="shared" si="0"/>
        <v>m2</v>
      </c>
    </row>
    <row r="14" spans="1:16" x14ac:dyDescent="0.25">
      <c r="A14" s="2" t="s">
        <v>15</v>
      </c>
      <c r="B14" s="2">
        <v>87</v>
      </c>
      <c r="C14" s="2">
        <v>18</v>
      </c>
      <c r="D14" s="4">
        <f t="shared" si="1"/>
        <v>125.26423839355984</v>
      </c>
      <c r="E14" s="4">
        <f t="shared" si="2"/>
        <v>40.954016243378291</v>
      </c>
      <c r="F14" s="4" t="str">
        <f t="shared" si="0"/>
        <v>m2</v>
      </c>
    </row>
    <row r="15" spans="1:16" x14ac:dyDescent="0.25">
      <c r="A15" s="2" t="s">
        <v>16</v>
      </c>
      <c r="B15" s="2">
        <v>56</v>
      </c>
      <c r="C15" s="2">
        <v>17</v>
      </c>
      <c r="D15" s="4">
        <f t="shared" si="1"/>
        <v>152.94626610227377</v>
      </c>
      <c r="E15" s="4">
        <f t="shared" si="2"/>
        <v>54.544238615530539</v>
      </c>
      <c r="F15" s="4" t="str">
        <f t="shared" si="0"/>
        <v>m2</v>
      </c>
    </row>
    <row r="16" spans="1:16" x14ac:dyDescent="0.25">
      <c r="A16" s="2" t="s">
        <v>17</v>
      </c>
      <c r="B16" s="2">
        <v>103</v>
      </c>
      <c r="C16" s="2">
        <v>43</v>
      </c>
      <c r="D16" s="4">
        <f t="shared" si="1"/>
        <v>99.350898159171351</v>
      </c>
      <c r="E16" s="4">
        <f t="shared" si="2"/>
        <v>19.737129505289317</v>
      </c>
      <c r="F16" s="4" t="str">
        <f t="shared" si="0"/>
        <v>m2</v>
      </c>
    </row>
    <row r="17" spans="1:6" x14ac:dyDescent="0.25">
      <c r="A17" s="2" t="s">
        <v>18</v>
      </c>
      <c r="B17" s="2">
        <v>119</v>
      </c>
      <c r="C17" s="2">
        <v>43</v>
      </c>
      <c r="D17" s="4">
        <f t="shared" si="1"/>
        <v>85.018406361908433</v>
      </c>
      <c r="E17" s="4">
        <f t="shared" si="2"/>
        <v>32.035584754416156</v>
      </c>
      <c r="F17" s="4" t="str">
        <f t="shared" si="0"/>
        <v>m2</v>
      </c>
    </row>
    <row r="18" spans="1:6" x14ac:dyDescent="0.25">
      <c r="A18" s="2" t="s">
        <v>19</v>
      </c>
      <c r="B18" s="2">
        <v>143</v>
      </c>
      <c r="C18" s="2">
        <v>26</v>
      </c>
      <c r="D18" s="4">
        <f t="shared" si="1"/>
        <v>76.820184863305386</v>
      </c>
      <c r="E18" s="4">
        <f t="shared" si="2"/>
        <v>61.366101192733034</v>
      </c>
      <c r="F18" s="4" t="str">
        <f t="shared" si="0"/>
        <v>m2</v>
      </c>
    </row>
    <row r="19" spans="1:6" x14ac:dyDescent="0.25">
      <c r="A19" s="2" t="s">
        <v>20</v>
      </c>
      <c r="B19" s="2">
        <v>65</v>
      </c>
      <c r="C19" s="2">
        <v>35</v>
      </c>
      <c r="D19" s="4">
        <f t="shared" si="1"/>
        <v>137.53402886237041</v>
      </c>
      <c r="E19" s="4">
        <f t="shared" si="2"/>
        <v>35.288841191014271</v>
      </c>
      <c r="F19" s="4" t="str">
        <f t="shared" si="0"/>
        <v>m2</v>
      </c>
    </row>
    <row r="20" spans="1:6" x14ac:dyDescent="0.25">
      <c r="A20" s="2" t="s">
        <v>21</v>
      </c>
      <c r="B20" s="2">
        <v>4</v>
      </c>
      <c r="C20" s="2">
        <v>35</v>
      </c>
      <c r="D20" s="4">
        <f t="shared" si="1"/>
        <v>195.76269271580571</v>
      </c>
      <c r="E20" s="4">
        <f t="shared" si="2"/>
        <v>90.28172850350731</v>
      </c>
      <c r="F20" s="4" t="str">
        <f t="shared" si="0"/>
        <v>m2</v>
      </c>
    </row>
    <row r="21" spans="1:6" x14ac:dyDescent="0.25">
      <c r="A21" s="2" t="s">
        <v>22</v>
      </c>
      <c r="B21" s="2">
        <v>25</v>
      </c>
      <c r="C21" s="2">
        <v>42</v>
      </c>
      <c r="D21" s="4">
        <f t="shared" si="1"/>
        <v>173.68733984359542</v>
      </c>
      <c r="E21" s="4">
        <f t="shared" si="2"/>
        <v>68.19104668530683</v>
      </c>
      <c r="F21" s="4" t="str">
        <f t="shared" si="0"/>
        <v>m2</v>
      </c>
    </row>
    <row r="22" spans="1:6" x14ac:dyDescent="0.25">
      <c r="A22" s="2" t="s">
        <v>23</v>
      </c>
      <c r="B22" s="2">
        <v>46</v>
      </c>
      <c r="C22" s="2">
        <v>23</v>
      </c>
      <c r="D22" s="4">
        <f t="shared" si="1"/>
        <v>159.61908210341926</v>
      </c>
      <c r="E22" s="4">
        <f t="shared" si="2"/>
        <v>57.551236583497186</v>
      </c>
      <c r="F22" s="4" t="str">
        <f t="shared" si="0"/>
        <v>m2</v>
      </c>
    </row>
    <row r="23" spans="1:6" x14ac:dyDescent="0.25">
      <c r="A23" s="2" t="s">
        <v>24</v>
      </c>
      <c r="B23" s="2">
        <v>73</v>
      </c>
      <c r="C23" s="2">
        <v>57</v>
      </c>
      <c r="D23" s="4">
        <f t="shared" si="1"/>
        <v>123.52426175232461</v>
      </c>
      <c r="E23" s="4">
        <f t="shared" si="2"/>
        <v>18.186564587691191</v>
      </c>
      <c r="F23" s="4" t="str">
        <f t="shared" si="0"/>
        <v>m2</v>
      </c>
    </row>
    <row r="24" spans="1:6" x14ac:dyDescent="0.25">
      <c r="A24" s="2" t="s">
        <v>25</v>
      </c>
      <c r="B24" s="2">
        <v>84</v>
      </c>
      <c r="C24" s="2">
        <v>43</v>
      </c>
      <c r="D24" s="4">
        <f t="shared" si="1"/>
        <v>116.93389553240597</v>
      </c>
      <c r="E24" s="4">
        <f t="shared" si="2"/>
        <v>17.275533128910663</v>
      </c>
      <c r="F24" s="4" t="str">
        <f t="shared" si="0"/>
        <v>m2</v>
      </c>
    </row>
    <row r="25" spans="1:6" x14ac:dyDescent="0.25">
      <c r="A25" s="2" t="s">
        <v>26</v>
      </c>
      <c r="B25" s="2">
        <v>18</v>
      </c>
      <c r="C25" s="2">
        <v>44</v>
      </c>
      <c r="D25" s="4">
        <f t="shared" si="1"/>
        <v>180.03635402304747</v>
      </c>
      <c r="E25" s="4">
        <f t="shared" si="2"/>
        <v>74.575195560719692</v>
      </c>
      <c r="F25" s="4" t="str">
        <f t="shared" si="0"/>
        <v>m2</v>
      </c>
    </row>
    <row r="26" spans="1:6" x14ac:dyDescent="0.25">
      <c r="A26" s="2" t="s">
        <v>27</v>
      </c>
      <c r="B26" s="2">
        <v>96</v>
      </c>
      <c r="C26" s="2">
        <v>58</v>
      </c>
      <c r="D26" s="4">
        <f t="shared" si="1"/>
        <v>100.93586141459132</v>
      </c>
      <c r="E26" s="4">
        <f t="shared" si="2"/>
        <v>4.9544330748143262</v>
      </c>
      <c r="F26" s="4" t="str">
        <f t="shared" si="0"/>
        <v>m2</v>
      </c>
    </row>
    <row r="27" spans="1:6" x14ac:dyDescent="0.25">
      <c r="A27" s="2" t="s">
        <v>28</v>
      </c>
      <c r="B27" s="2">
        <v>118</v>
      </c>
      <c r="C27" s="2">
        <v>30</v>
      </c>
      <c r="D27" s="4">
        <f t="shared" si="1"/>
        <v>92.782721911782915</v>
      </c>
      <c r="E27" s="4">
        <f t="shared" si="2"/>
        <v>39.369178729870242</v>
      </c>
      <c r="F27" s="4" t="str">
        <f t="shared" si="0"/>
        <v>m2</v>
      </c>
    </row>
    <row r="28" spans="1:6" x14ac:dyDescent="0.25">
      <c r="A28" s="2" t="s">
        <v>29</v>
      </c>
      <c r="B28" s="2">
        <v>112</v>
      </c>
      <c r="C28" s="2">
        <v>23</v>
      </c>
      <c r="D28" s="4">
        <f t="shared" si="1"/>
        <v>101.75488317317692</v>
      </c>
      <c r="E28" s="4">
        <f t="shared" si="2"/>
        <v>41.4081274783833</v>
      </c>
      <c r="F28" s="4" t="str">
        <f t="shared" si="0"/>
        <v>m2</v>
      </c>
    </row>
    <row r="29" spans="1:6" x14ac:dyDescent="0.25">
      <c r="A29" s="2" t="s">
        <v>30</v>
      </c>
      <c r="B29" s="2">
        <v>104</v>
      </c>
      <c r="C29" s="2">
        <v>34</v>
      </c>
      <c r="D29" s="4">
        <f t="shared" si="1"/>
        <v>102.49988771356875</v>
      </c>
      <c r="E29" s="4">
        <f t="shared" si="2"/>
        <v>27.907241419177339</v>
      </c>
      <c r="F29" s="4" t="str">
        <f t="shared" si="0"/>
        <v>m2</v>
      </c>
    </row>
    <row r="30" spans="1:6" x14ac:dyDescent="0.25">
      <c r="A30" s="2" t="s">
        <v>31</v>
      </c>
      <c r="B30" s="2">
        <v>110</v>
      </c>
      <c r="C30" s="2">
        <v>13</v>
      </c>
      <c r="D30" s="4">
        <f t="shared" si="1"/>
        <v>109.54810795675094</v>
      </c>
      <c r="E30" s="4">
        <f t="shared" si="2"/>
        <v>49.49750599783993</v>
      </c>
      <c r="F30" s="4" t="str">
        <f t="shared" si="0"/>
        <v>m2</v>
      </c>
    </row>
    <row r="31" spans="1:6" x14ac:dyDescent="0.25">
      <c r="A31" s="2" t="s">
        <v>32</v>
      </c>
      <c r="B31" s="2">
        <v>115</v>
      </c>
      <c r="C31" s="2">
        <v>28</v>
      </c>
      <c r="D31" s="4">
        <f t="shared" si="1"/>
        <v>96.386624864858291</v>
      </c>
      <c r="E31" s="4">
        <f t="shared" si="2"/>
        <v>38.942759700322547</v>
      </c>
      <c r="F31" s="4" t="str">
        <f t="shared" si="0"/>
        <v>m2</v>
      </c>
    </row>
    <row r="32" spans="1:6" x14ac:dyDescent="0.25">
      <c r="A32" s="2" t="s">
        <v>40</v>
      </c>
      <c r="B32" s="2">
        <v>57</v>
      </c>
      <c r="C32" s="2">
        <v>43</v>
      </c>
      <c r="D32" s="4">
        <f t="shared" ref="D32:D95" si="3">SQRT(((B32-$H$1)^2+(C32-$I$1)^2))</f>
        <v>142.54720851735732</v>
      </c>
      <c r="E32" s="4">
        <f t="shared" ref="E32:E95" si="4">SQRT(((B32-$K$1)^2+(C32-$L$1)^2))</f>
        <v>37.56290196381542</v>
      </c>
      <c r="F32" s="4" t="str">
        <f t="shared" ref="F32:F95" si="5">IF(MIN(D32:E32)=D32,$D$1,$E$1)</f>
        <v>m2</v>
      </c>
    </row>
    <row r="33" spans="1:6" x14ac:dyDescent="0.25">
      <c r="A33" s="2" t="s">
        <v>41</v>
      </c>
      <c r="B33" s="2">
        <v>5</v>
      </c>
      <c r="C33" s="2">
        <v>60</v>
      </c>
      <c r="D33" s="4">
        <f t="shared" si="3"/>
        <v>190.07582822975982</v>
      </c>
      <c r="E33" s="4">
        <f t="shared" si="4"/>
        <v>86.111463826649739</v>
      </c>
      <c r="F33" s="4" t="str">
        <f t="shared" si="5"/>
        <v>m2</v>
      </c>
    </row>
    <row r="34" spans="1:6" x14ac:dyDescent="0.25">
      <c r="A34" s="2" t="s">
        <v>42</v>
      </c>
      <c r="B34" s="2">
        <v>72</v>
      </c>
      <c r="C34" s="2">
        <v>51</v>
      </c>
      <c r="D34" s="4">
        <f t="shared" si="3"/>
        <v>125.9295492390015</v>
      </c>
      <c r="E34" s="4">
        <f t="shared" si="4"/>
        <v>20.613884492362615</v>
      </c>
      <c r="F34" s="4" t="str">
        <f t="shared" si="5"/>
        <v>m2</v>
      </c>
    </row>
    <row r="35" spans="1:6" x14ac:dyDescent="0.25">
      <c r="A35" s="2" t="s">
        <v>43</v>
      </c>
      <c r="B35" s="2">
        <v>71</v>
      </c>
      <c r="C35" s="2">
        <v>57</v>
      </c>
      <c r="D35" s="4">
        <f t="shared" si="3"/>
        <v>125.47729748662199</v>
      </c>
      <c r="E35" s="4">
        <f t="shared" si="4"/>
        <v>20.178220444854915</v>
      </c>
      <c r="F35" s="4" t="str">
        <f t="shared" si="5"/>
        <v>m2</v>
      </c>
    </row>
    <row r="36" spans="1:6" x14ac:dyDescent="0.25">
      <c r="A36" s="2" t="s">
        <v>44</v>
      </c>
      <c r="B36" s="2">
        <v>130</v>
      </c>
      <c r="C36" s="2">
        <v>55</v>
      </c>
      <c r="D36" s="4">
        <f t="shared" si="3"/>
        <v>69.804891778825578</v>
      </c>
      <c r="E36" s="4">
        <f t="shared" si="4"/>
        <v>39.077793772780105</v>
      </c>
      <c r="F36" s="4" t="str">
        <f t="shared" si="5"/>
        <v>m2</v>
      </c>
    </row>
    <row r="37" spans="1:6" x14ac:dyDescent="0.25">
      <c r="A37" s="2" t="s">
        <v>45</v>
      </c>
      <c r="B37" s="2">
        <v>51</v>
      </c>
      <c r="C37" s="2">
        <v>21</v>
      </c>
      <c r="D37" s="4">
        <f t="shared" si="3"/>
        <v>155.80360575628552</v>
      </c>
      <c r="E37" s="4">
        <f t="shared" si="4"/>
        <v>55.073708212055891</v>
      </c>
      <c r="F37" s="4" t="str">
        <f t="shared" si="5"/>
        <v>m2</v>
      </c>
    </row>
    <row r="38" spans="1:6" x14ac:dyDescent="0.25">
      <c r="A38" s="2" t="s">
        <v>46</v>
      </c>
      <c r="B38" s="2">
        <v>23</v>
      </c>
      <c r="C38" s="2">
        <v>54</v>
      </c>
      <c r="D38" s="4">
        <f t="shared" si="3"/>
        <v>173.16435443809115</v>
      </c>
      <c r="E38" s="4">
        <f t="shared" si="4"/>
        <v>68.267675666826989</v>
      </c>
      <c r="F38" s="4" t="str">
        <f t="shared" si="5"/>
        <v>m2</v>
      </c>
    </row>
    <row r="39" spans="1:6" x14ac:dyDescent="0.25">
      <c r="A39" s="2" t="s">
        <v>47</v>
      </c>
      <c r="B39" s="2">
        <v>30</v>
      </c>
      <c r="C39" s="2">
        <v>18</v>
      </c>
      <c r="D39" s="4">
        <f t="shared" si="3"/>
        <v>176.32337989718599</v>
      </c>
      <c r="E39" s="4">
        <f t="shared" si="4"/>
        <v>73.443180335559248</v>
      </c>
      <c r="F39" s="4" t="str">
        <f t="shared" si="5"/>
        <v>m2</v>
      </c>
    </row>
    <row r="40" spans="1:6" x14ac:dyDescent="0.25">
      <c r="A40" s="2" t="s">
        <v>48</v>
      </c>
      <c r="B40" s="2">
        <v>38</v>
      </c>
      <c r="C40" s="2">
        <v>25</v>
      </c>
      <c r="D40" s="4">
        <f t="shared" si="3"/>
        <v>166.32559211092652</v>
      </c>
      <c r="E40" s="4">
        <f t="shared" si="4"/>
        <v>62.91892006051124</v>
      </c>
      <c r="F40" s="4" t="str">
        <f t="shared" si="5"/>
        <v>m2</v>
      </c>
    </row>
    <row r="41" spans="1:6" x14ac:dyDescent="0.25">
      <c r="A41" s="2" t="s">
        <v>49</v>
      </c>
      <c r="B41" s="2">
        <v>89</v>
      </c>
      <c r="C41" s="2">
        <v>33</v>
      </c>
      <c r="D41" s="4">
        <f t="shared" si="3"/>
        <v>116.2720358937939</v>
      </c>
      <c r="E41" s="4">
        <f t="shared" si="4"/>
        <v>25.83371929788867</v>
      </c>
      <c r="F41" s="4" t="str">
        <f t="shared" si="5"/>
        <v>m2</v>
      </c>
    </row>
    <row r="42" spans="1:6" x14ac:dyDescent="0.25">
      <c r="A42" s="2" t="s">
        <v>50</v>
      </c>
      <c r="B42" s="2">
        <v>31</v>
      </c>
      <c r="C42" s="2">
        <v>14</v>
      </c>
      <c r="D42" s="4">
        <f t="shared" si="3"/>
        <v>176.93600236388781</v>
      </c>
      <c r="E42" s="4">
        <f t="shared" si="4"/>
        <v>74.931170185447741</v>
      </c>
      <c r="F42" s="4" t="str">
        <f t="shared" si="5"/>
        <v>m2</v>
      </c>
    </row>
    <row r="43" spans="1:6" x14ac:dyDescent="0.25">
      <c r="A43" s="2" t="s">
        <v>51</v>
      </c>
      <c r="B43" s="2">
        <v>118</v>
      </c>
      <c r="C43" s="2">
        <v>60</v>
      </c>
      <c r="D43" s="4">
        <f t="shared" si="3"/>
        <v>79.242445650524417</v>
      </c>
      <c r="E43" s="4">
        <f t="shared" si="4"/>
        <v>26.926758885924016</v>
      </c>
      <c r="F43" s="4" t="str">
        <f t="shared" si="5"/>
        <v>m2</v>
      </c>
    </row>
    <row r="44" spans="1:6" x14ac:dyDescent="0.25">
      <c r="A44" s="2" t="s">
        <v>52</v>
      </c>
      <c r="B44" s="2">
        <v>92</v>
      </c>
      <c r="C44" s="2">
        <v>60</v>
      </c>
      <c r="D44" s="4">
        <f t="shared" si="3"/>
        <v>104.3330314561928</v>
      </c>
      <c r="E44" s="4">
        <f t="shared" si="4"/>
        <v>1.5405124947099529</v>
      </c>
      <c r="F44" s="4" t="str">
        <f t="shared" si="5"/>
        <v>m2</v>
      </c>
    </row>
    <row r="45" spans="1:6" x14ac:dyDescent="0.25">
      <c r="A45" s="2" t="s">
        <v>53</v>
      </c>
      <c r="B45" s="2">
        <v>142</v>
      </c>
      <c r="C45" s="2">
        <v>15</v>
      </c>
      <c r="D45" s="4">
        <f t="shared" si="3"/>
        <v>86.003257581486622</v>
      </c>
      <c r="E45" s="4">
        <f t="shared" si="4"/>
        <v>67.115272426770233</v>
      </c>
      <c r="F45" s="4" t="str">
        <f t="shared" si="5"/>
        <v>m2</v>
      </c>
    </row>
    <row r="46" spans="1:6" x14ac:dyDescent="0.25">
      <c r="A46" s="2" t="s">
        <v>54</v>
      </c>
      <c r="B46" s="2">
        <v>121</v>
      </c>
      <c r="C46" s="2">
        <v>53</v>
      </c>
      <c r="D46" s="4">
        <f t="shared" si="3"/>
        <v>78.8504769357898</v>
      </c>
      <c r="E46" s="4">
        <f t="shared" si="4"/>
        <v>30.445173867416546</v>
      </c>
      <c r="F46" s="4" t="str">
        <f t="shared" si="5"/>
        <v>m2</v>
      </c>
    </row>
    <row r="47" spans="1:6" x14ac:dyDescent="0.25">
      <c r="A47" s="2" t="s">
        <v>55</v>
      </c>
      <c r="B47" s="2">
        <v>120</v>
      </c>
      <c r="C47" s="2">
        <v>48</v>
      </c>
      <c r="D47" s="4">
        <f t="shared" si="3"/>
        <v>81.833755667573115</v>
      </c>
      <c r="E47" s="4">
        <f t="shared" si="4"/>
        <v>30.831698804757774</v>
      </c>
      <c r="F47" s="4" t="str">
        <f t="shared" si="5"/>
        <v>m2</v>
      </c>
    </row>
    <row r="48" spans="1:6" x14ac:dyDescent="0.25">
      <c r="A48" s="2" t="s">
        <v>56</v>
      </c>
      <c r="B48" s="2">
        <v>59</v>
      </c>
      <c r="C48" s="2">
        <v>38</v>
      </c>
      <c r="D48" s="4">
        <f t="shared" si="3"/>
        <v>142.16402180268867</v>
      </c>
      <c r="E48" s="4">
        <f t="shared" si="4"/>
        <v>38.223585259430344</v>
      </c>
      <c r="F48" s="4" t="str">
        <f t="shared" si="5"/>
        <v>m2</v>
      </c>
    </row>
    <row r="49" spans="1:6" x14ac:dyDescent="0.25">
      <c r="A49" s="2" t="s">
        <v>57</v>
      </c>
      <c r="B49" s="2">
        <v>43</v>
      </c>
      <c r="C49" s="2">
        <v>54</v>
      </c>
      <c r="D49" s="4">
        <f t="shared" si="3"/>
        <v>153.50180525670231</v>
      </c>
      <c r="E49" s="4">
        <f t="shared" si="4"/>
        <v>48.336125752506334</v>
      </c>
      <c r="F49" s="4" t="str">
        <f t="shared" si="5"/>
        <v>m2</v>
      </c>
    </row>
    <row r="50" spans="1:6" x14ac:dyDescent="0.25">
      <c r="A50" s="2" t="s">
        <v>58</v>
      </c>
      <c r="B50" s="2">
        <v>27</v>
      </c>
      <c r="C50" s="2">
        <v>37</v>
      </c>
      <c r="D50" s="4">
        <f t="shared" si="3"/>
        <v>173.03235090863498</v>
      </c>
      <c r="E50" s="4">
        <f t="shared" si="4"/>
        <v>67.691134679361284</v>
      </c>
      <c r="F50" s="4" t="str">
        <f t="shared" si="5"/>
        <v>m2</v>
      </c>
    </row>
    <row r="51" spans="1:6" x14ac:dyDescent="0.25">
      <c r="A51" s="2" t="s">
        <v>59</v>
      </c>
      <c r="B51" s="2">
        <v>99</v>
      </c>
      <c r="C51" s="2">
        <v>45</v>
      </c>
      <c r="D51" s="4">
        <f t="shared" si="3"/>
        <v>102.23470202610937</v>
      </c>
      <c r="E51" s="4">
        <f t="shared" si="4"/>
        <v>15.855000875499991</v>
      </c>
      <c r="F51" s="4" t="str">
        <f t="shared" si="5"/>
        <v>m2</v>
      </c>
    </row>
    <row r="52" spans="1:6" x14ac:dyDescent="0.25">
      <c r="A52" s="2" t="s">
        <v>60</v>
      </c>
      <c r="B52" s="2">
        <v>12</v>
      </c>
      <c r="C52" s="2">
        <v>15</v>
      </c>
      <c r="D52" s="4">
        <f t="shared" si="3"/>
        <v>194.18198066617958</v>
      </c>
      <c r="E52" s="4">
        <f t="shared" si="4"/>
        <v>90.393992976015468</v>
      </c>
      <c r="F52" s="4" t="str">
        <f t="shared" si="5"/>
        <v>m2</v>
      </c>
    </row>
    <row r="53" spans="1:6" x14ac:dyDescent="0.25">
      <c r="A53" s="2" t="s">
        <v>61</v>
      </c>
      <c r="B53" s="2">
        <v>49</v>
      </c>
      <c r="C53" s="2">
        <v>31</v>
      </c>
      <c r="D53" s="4">
        <f t="shared" si="3"/>
        <v>153.92416881543275</v>
      </c>
      <c r="E53" s="4">
        <f t="shared" si="4"/>
        <v>50.42382527262594</v>
      </c>
      <c r="F53" s="4" t="str">
        <f t="shared" si="5"/>
        <v>m2</v>
      </c>
    </row>
    <row r="54" spans="1:6" x14ac:dyDescent="0.25">
      <c r="A54" s="2" t="s">
        <v>62</v>
      </c>
      <c r="B54" s="2">
        <v>72</v>
      </c>
      <c r="C54" s="2">
        <v>59</v>
      </c>
      <c r="D54" s="4">
        <f t="shared" si="3"/>
        <v>124.08510450556098</v>
      </c>
      <c r="E54" s="4">
        <f t="shared" si="4"/>
        <v>19.104023919778264</v>
      </c>
      <c r="F54" s="4" t="str">
        <f t="shared" si="5"/>
        <v>m2</v>
      </c>
    </row>
    <row r="55" spans="1:6" x14ac:dyDescent="0.25">
      <c r="A55" s="2" t="s">
        <v>63</v>
      </c>
      <c r="B55" s="2">
        <v>1</v>
      </c>
      <c r="C55" s="2">
        <v>60</v>
      </c>
      <c r="D55" s="4">
        <f t="shared" si="3"/>
        <v>194.04493903064832</v>
      </c>
      <c r="E55" s="4">
        <f t="shared" si="4"/>
        <v>90.111059809582756</v>
      </c>
      <c r="F55" s="4" t="str">
        <f t="shared" si="5"/>
        <v>m2</v>
      </c>
    </row>
    <row r="56" spans="1:6" x14ac:dyDescent="0.25">
      <c r="A56" s="2" t="s">
        <v>64</v>
      </c>
      <c r="B56" s="2">
        <v>107</v>
      </c>
      <c r="C56" s="2">
        <v>34</v>
      </c>
      <c r="D56" s="4">
        <f t="shared" si="3"/>
        <v>99.888755957114881</v>
      </c>
      <c r="E56" s="4">
        <f t="shared" si="4"/>
        <v>29.414281402065573</v>
      </c>
      <c r="F56" s="4" t="str">
        <f t="shared" si="5"/>
        <v>m2</v>
      </c>
    </row>
    <row r="57" spans="1:6" x14ac:dyDescent="0.25">
      <c r="A57" s="2" t="s">
        <v>65</v>
      </c>
      <c r="B57" s="2">
        <v>75</v>
      </c>
      <c r="C57" s="2">
        <v>60</v>
      </c>
      <c r="D57" s="4">
        <f t="shared" si="3"/>
        <v>120.94629993968016</v>
      </c>
      <c r="E57" s="4">
        <f t="shared" si="4"/>
        <v>16.150959528987361</v>
      </c>
      <c r="F57" s="4" t="str">
        <f t="shared" si="5"/>
        <v>m2</v>
      </c>
    </row>
    <row r="58" spans="1:6" x14ac:dyDescent="0.25">
      <c r="A58" s="2" t="s">
        <v>66</v>
      </c>
      <c r="B58" s="2">
        <v>32</v>
      </c>
      <c r="C58" s="2">
        <v>27</v>
      </c>
      <c r="D58" s="4">
        <f t="shared" si="3"/>
        <v>171.2770996586323</v>
      </c>
      <c r="E58" s="4">
        <f t="shared" si="4"/>
        <v>67.089691622882313</v>
      </c>
      <c r="F58" s="4" t="str">
        <f t="shared" si="5"/>
        <v>m2</v>
      </c>
    </row>
    <row r="59" spans="1:6" x14ac:dyDescent="0.25">
      <c r="A59" s="2" t="s">
        <v>67</v>
      </c>
      <c r="B59" s="2">
        <v>143</v>
      </c>
      <c r="C59" s="2">
        <v>48</v>
      </c>
      <c r="D59" s="4">
        <f t="shared" si="3"/>
        <v>61.977501733545218</v>
      </c>
      <c r="E59" s="4">
        <f t="shared" si="4"/>
        <v>52.998914986723818</v>
      </c>
      <c r="F59" s="4" t="str">
        <f t="shared" si="5"/>
        <v>m2</v>
      </c>
    </row>
    <row r="60" spans="1:6" x14ac:dyDescent="0.25">
      <c r="A60" s="2" t="s">
        <v>68</v>
      </c>
      <c r="B60" s="2">
        <v>18</v>
      </c>
      <c r="C60" s="2">
        <v>24</v>
      </c>
      <c r="D60" s="4">
        <f t="shared" si="3"/>
        <v>185.48836701628318</v>
      </c>
      <c r="E60" s="4">
        <f t="shared" si="4"/>
        <v>80.940602003951682</v>
      </c>
      <c r="F60" s="4" t="str">
        <f t="shared" si="5"/>
        <v>m2</v>
      </c>
    </row>
    <row r="61" spans="1:6" x14ac:dyDescent="0.25">
      <c r="A61" s="2" t="s">
        <v>69</v>
      </c>
      <c r="B61" s="2">
        <v>138</v>
      </c>
      <c r="C61" s="2">
        <v>38</v>
      </c>
      <c r="D61" s="4">
        <f t="shared" si="3"/>
        <v>72.030589634424217</v>
      </c>
      <c r="E61" s="4">
        <f t="shared" si="4"/>
        <v>51.282250747587931</v>
      </c>
      <c r="F61" s="4" t="str">
        <f t="shared" si="5"/>
        <v>m2</v>
      </c>
    </row>
    <row r="62" spans="1:6" x14ac:dyDescent="0.25">
      <c r="A62" s="2" t="s">
        <v>70</v>
      </c>
      <c r="B62" s="2">
        <v>56</v>
      </c>
      <c r="C62" s="2">
        <v>30</v>
      </c>
      <c r="D62" s="4">
        <f t="shared" si="3"/>
        <v>147.73019569854904</v>
      </c>
      <c r="E62" s="4">
        <f t="shared" si="4"/>
        <v>45.372074531040511</v>
      </c>
      <c r="F62" s="4" t="str">
        <f t="shared" si="5"/>
        <v>m2</v>
      </c>
    </row>
    <row r="63" spans="1:6" x14ac:dyDescent="0.25">
      <c r="A63" s="2" t="s">
        <v>71</v>
      </c>
      <c r="B63" s="2">
        <v>145</v>
      </c>
      <c r="C63" s="2">
        <v>44</v>
      </c>
      <c r="D63" s="4">
        <f t="shared" si="3"/>
        <v>62.812983400991442</v>
      </c>
      <c r="E63" s="4">
        <f t="shared" si="4"/>
        <v>55.878974515640365</v>
      </c>
      <c r="F63" s="4" t="str">
        <f t="shared" si="5"/>
        <v>m2</v>
      </c>
    </row>
    <row r="64" spans="1:6" x14ac:dyDescent="0.25">
      <c r="A64" s="2" t="s">
        <v>72</v>
      </c>
      <c r="B64" s="2">
        <v>145</v>
      </c>
      <c r="C64" s="2">
        <v>35</v>
      </c>
      <c r="D64" s="4">
        <f t="shared" si="3"/>
        <v>68.871266661345103</v>
      </c>
      <c r="E64" s="4">
        <f t="shared" si="4"/>
        <v>58.897575161026104</v>
      </c>
      <c r="F64" s="4" t="str">
        <f t="shared" si="5"/>
        <v>m2</v>
      </c>
    </row>
    <row r="65" spans="1:6" x14ac:dyDescent="0.25">
      <c r="A65" s="2" t="s">
        <v>73</v>
      </c>
      <c r="B65" s="2">
        <v>3</v>
      </c>
      <c r="C65" s="2">
        <v>18</v>
      </c>
      <c r="D65" s="4">
        <f t="shared" si="3"/>
        <v>201.62367179990221</v>
      </c>
      <c r="E65" s="4">
        <f t="shared" si="4"/>
        <v>97.069193346069355</v>
      </c>
      <c r="F65" s="4" t="str">
        <f t="shared" si="5"/>
        <v>m2</v>
      </c>
    </row>
    <row r="66" spans="1:6" x14ac:dyDescent="0.25">
      <c r="A66" s="2" t="s">
        <v>74</v>
      </c>
      <c r="B66" s="2">
        <v>120</v>
      </c>
      <c r="C66" s="2">
        <v>38</v>
      </c>
      <c r="D66" s="4">
        <f t="shared" si="3"/>
        <v>86.678638261613784</v>
      </c>
      <c r="E66" s="4">
        <f t="shared" si="4"/>
        <v>35.57462973958495</v>
      </c>
      <c r="F66" s="4" t="str">
        <f t="shared" si="5"/>
        <v>m2</v>
      </c>
    </row>
    <row r="67" spans="1:6" x14ac:dyDescent="0.25">
      <c r="A67" s="2" t="s">
        <v>75</v>
      </c>
      <c r="B67" s="2">
        <v>114</v>
      </c>
      <c r="C67" s="2">
        <v>43</v>
      </c>
      <c r="D67" s="4">
        <f t="shared" si="3"/>
        <v>89.436579641901389</v>
      </c>
      <c r="E67" s="4">
        <f t="shared" si="4"/>
        <v>27.790327680770964</v>
      </c>
      <c r="F67" s="4" t="str">
        <f t="shared" si="5"/>
        <v>m2</v>
      </c>
    </row>
    <row r="68" spans="1:6" x14ac:dyDescent="0.25">
      <c r="A68" s="2" t="s">
        <v>76</v>
      </c>
      <c r="B68" s="2">
        <v>66</v>
      </c>
      <c r="C68" s="2">
        <v>33</v>
      </c>
      <c r="D68" s="4">
        <f t="shared" si="3"/>
        <v>137.3271246928885</v>
      </c>
      <c r="E68" s="4">
        <f t="shared" si="4"/>
        <v>35.959556646035395</v>
      </c>
      <c r="F68" s="4" t="str">
        <f t="shared" si="5"/>
        <v>m2</v>
      </c>
    </row>
    <row r="69" spans="1:6" x14ac:dyDescent="0.25">
      <c r="A69" s="2" t="s">
        <v>77</v>
      </c>
      <c r="B69" s="2">
        <v>15</v>
      </c>
      <c r="C69" s="2">
        <v>14</v>
      </c>
      <c r="D69" s="4">
        <f t="shared" si="3"/>
        <v>191.7415460384868</v>
      </c>
      <c r="E69" s="4">
        <f t="shared" si="4"/>
        <v>88.283383804154852</v>
      </c>
      <c r="F69" s="4" t="str">
        <f t="shared" si="5"/>
        <v>m2</v>
      </c>
    </row>
    <row r="70" spans="1:6" x14ac:dyDescent="0.25">
      <c r="A70" s="2" t="s">
        <v>78</v>
      </c>
      <c r="B70" s="2">
        <v>16</v>
      </c>
      <c r="C70" s="2">
        <v>52</v>
      </c>
      <c r="D70" s="4">
        <f t="shared" si="3"/>
        <v>180.40581892394547</v>
      </c>
      <c r="E70" s="4">
        <f t="shared" si="4"/>
        <v>75.404911894395028</v>
      </c>
      <c r="F70" s="4" t="str">
        <f t="shared" si="5"/>
        <v>m2</v>
      </c>
    </row>
    <row r="71" spans="1:6" x14ac:dyDescent="0.25">
      <c r="A71" s="2" t="s">
        <v>79</v>
      </c>
      <c r="B71" s="2">
        <v>101</v>
      </c>
      <c r="C71" s="2">
        <v>22</v>
      </c>
      <c r="D71" s="4">
        <f t="shared" si="3"/>
        <v>111.32114674670541</v>
      </c>
      <c r="E71" s="4">
        <f t="shared" si="4"/>
        <v>38.057601773654966</v>
      </c>
      <c r="F71" s="4" t="str">
        <f t="shared" si="5"/>
        <v>m2</v>
      </c>
    </row>
    <row r="72" spans="1:6" x14ac:dyDescent="0.25">
      <c r="A72" s="2" t="s">
        <v>80</v>
      </c>
      <c r="B72" s="2">
        <v>96</v>
      </c>
      <c r="C72" s="2">
        <v>26</v>
      </c>
      <c r="D72" s="4">
        <f t="shared" si="3"/>
        <v>113.42222429944688</v>
      </c>
      <c r="E72" s="4">
        <f t="shared" si="4"/>
        <v>33.112239773848671</v>
      </c>
      <c r="F72" s="4" t="str">
        <f t="shared" si="5"/>
        <v>m2</v>
      </c>
    </row>
    <row r="73" spans="1:6" x14ac:dyDescent="0.25">
      <c r="A73" s="2" t="s">
        <v>81</v>
      </c>
      <c r="B73" s="2">
        <v>105</v>
      </c>
      <c r="C73" s="2">
        <v>24</v>
      </c>
      <c r="D73" s="4">
        <f t="shared" si="3"/>
        <v>106.88543059733225</v>
      </c>
      <c r="E73" s="4">
        <f t="shared" si="4"/>
        <v>37.424190427316638</v>
      </c>
      <c r="F73" s="4" t="str">
        <f t="shared" si="5"/>
        <v>m2</v>
      </c>
    </row>
    <row r="74" spans="1:6" x14ac:dyDescent="0.25">
      <c r="A74" s="2" t="s">
        <v>82</v>
      </c>
      <c r="B74" s="2">
        <v>92</v>
      </c>
      <c r="C74" s="2">
        <v>31</v>
      </c>
      <c r="D74" s="4">
        <f t="shared" si="3"/>
        <v>114.4902068698414</v>
      </c>
      <c r="E74" s="4">
        <f t="shared" si="4"/>
        <v>27.762546812531646</v>
      </c>
      <c r="F74" s="4" t="str">
        <f t="shared" si="5"/>
        <v>m2</v>
      </c>
    </row>
    <row r="75" spans="1:6" x14ac:dyDescent="0.25">
      <c r="A75" s="2" t="s">
        <v>83</v>
      </c>
      <c r="B75" s="2">
        <v>30</v>
      </c>
      <c r="C75" s="2">
        <v>52</v>
      </c>
      <c r="D75" s="4">
        <f t="shared" si="3"/>
        <v>166.64362244020438</v>
      </c>
      <c r="E75" s="4">
        <f t="shared" si="4"/>
        <v>61.47385294634779</v>
      </c>
      <c r="F75" s="4" t="str">
        <f t="shared" si="5"/>
        <v>m2</v>
      </c>
    </row>
    <row r="76" spans="1:6" x14ac:dyDescent="0.25">
      <c r="A76" s="2" t="s">
        <v>84</v>
      </c>
      <c r="B76" s="2">
        <v>86</v>
      </c>
      <c r="C76" s="2">
        <v>46</v>
      </c>
      <c r="D76" s="4">
        <f t="shared" si="3"/>
        <v>114.03201371556106</v>
      </c>
      <c r="E76" s="4">
        <f t="shared" si="4"/>
        <v>13.731220160379568</v>
      </c>
      <c r="F76" s="4" t="str">
        <f t="shared" si="5"/>
        <v>m2</v>
      </c>
    </row>
    <row r="77" spans="1:6" x14ac:dyDescent="0.25">
      <c r="A77" s="2" t="s">
        <v>85</v>
      </c>
      <c r="B77" s="2">
        <v>14</v>
      </c>
      <c r="C77" s="2">
        <v>15</v>
      </c>
      <c r="D77" s="4">
        <f t="shared" si="3"/>
        <v>192.31311102561651</v>
      </c>
      <c r="E77" s="4">
        <f t="shared" si="4"/>
        <v>88.64910894830831</v>
      </c>
      <c r="F77" s="4" t="str">
        <f t="shared" si="5"/>
        <v>m2</v>
      </c>
    </row>
    <row r="78" spans="1:6" x14ac:dyDescent="0.25">
      <c r="A78" s="2" t="s">
        <v>86</v>
      </c>
      <c r="B78" s="2">
        <v>37</v>
      </c>
      <c r="C78" s="2">
        <v>19</v>
      </c>
      <c r="D78" s="4">
        <f t="shared" si="3"/>
        <v>169.46448218175865</v>
      </c>
      <c r="E78" s="4">
        <f t="shared" si="4"/>
        <v>67.133982482370342</v>
      </c>
      <c r="F78" s="4" t="str">
        <f t="shared" si="5"/>
        <v>m2</v>
      </c>
    </row>
    <row r="79" spans="1:6" x14ac:dyDescent="0.25">
      <c r="A79" s="2" t="s">
        <v>87</v>
      </c>
      <c r="B79" s="2">
        <v>44</v>
      </c>
      <c r="C79" s="2">
        <v>55</v>
      </c>
      <c r="D79" s="4">
        <f t="shared" si="3"/>
        <v>152.32861671104047</v>
      </c>
      <c r="E79" s="4">
        <f t="shared" si="4"/>
        <v>47.251246177857901</v>
      </c>
      <c r="F79" s="4" t="str">
        <f t="shared" si="5"/>
        <v>m2</v>
      </c>
    </row>
    <row r="80" spans="1:6" x14ac:dyDescent="0.25">
      <c r="A80" s="2" t="s">
        <v>88</v>
      </c>
      <c r="B80" s="2">
        <v>84</v>
      </c>
      <c r="C80" s="2">
        <v>32</v>
      </c>
      <c r="D80" s="4">
        <f t="shared" si="3"/>
        <v>121.21303958334697</v>
      </c>
      <c r="E80" s="4">
        <f t="shared" si="4"/>
        <v>27.674911703589512</v>
      </c>
      <c r="F80" s="4" t="str">
        <f t="shared" si="5"/>
        <v>m2</v>
      </c>
    </row>
    <row r="81" spans="1:6" x14ac:dyDescent="0.25">
      <c r="A81" s="2" t="s">
        <v>89</v>
      </c>
      <c r="B81" s="2">
        <v>133</v>
      </c>
      <c r="C81" s="2">
        <v>51</v>
      </c>
      <c r="D81" s="4">
        <f t="shared" si="3"/>
        <v>68.897232218068538</v>
      </c>
      <c r="E81" s="4">
        <f t="shared" si="4"/>
        <v>42.608027939439879</v>
      </c>
      <c r="F81" s="4" t="str">
        <f t="shared" si="5"/>
        <v>m2</v>
      </c>
    </row>
    <row r="82" spans="1:6" x14ac:dyDescent="0.25">
      <c r="A82" s="2" t="s">
        <v>90</v>
      </c>
      <c r="B82" s="2">
        <v>146</v>
      </c>
      <c r="C82" s="2">
        <v>27</v>
      </c>
      <c r="D82" s="4">
        <f t="shared" si="3"/>
        <v>74.109615512263346</v>
      </c>
      <c r="E82" s="4">
        <f t="shared" si="4"/>
        <v>63.41678121267492</v>
      </c>
      <c r="F82" s="4" t="str">
        <f t="shared" si="5"/>
        <v>m2</v>
      </c>
    </row>
    <row r="83" spans="1:6" x14ac:dyDescent="0.25">
      <c r="A83" s="2" t="s">
        <v>91</v>
      </c>
      <c r="B83" s="2">
        <v>126</v>
      </c>
      <c r="C83" s="2">
        <v>12</v>
      </c>
      <c r="D83" s="4">
        <f t="shared" si="3"/>
        <v>98.615205159302249</v>
      </c>
      <c r="E83" s="4">
        <f t="shared" si="4"/>
        <v>58.337154305357956</v>
      </c>
      <c r="F83" s="4" t="str">
        <f t="shared" si="5"/>
        <v>m2</v>
      </c>
    </row>
    <row r="84" spans="1:6" x14ac:dyDescent="0.25">
      <c r="A84" s="2" t="s">
        <v>92</v>
      </c>
      <c r="B84" s="2">
        <v>37</v>
      </c>
      <c r="C84" s="2">
        <v>36</v>
      </c>
      <c r="D84" s="4">
        <f t="shared" si="3"/>
        <v>163.71710974099381</v>
      </c>
      <c r="E84" s="4">
        <f t="shared" si="4"/>
        <v>58.690191114674917</v>
      </c>
      <c r="F84" s="4" t="str">
        <f t="shared" si="5"/>
        <v>m2</v>
      </c>
    </row>
    <row r="85" spans="1:6" x14ac:dyDescent="0.25">
      <c r="A85" s="2" t="s">
        <v>93</v>
      </c>
      <c r="B85" s="2">
        <v>150</v>
      </c>
      <c r="C85" s="2">
        <v>21</v>
      </c>
      <c r="D85" s="4">
        <f t="shared" si="3"/>
        <v>76.45567921177097</v>
      </c>
      <c r="E85" s="4">
        <f t="shared" si="4"/>
        <v>69.956026328624745</v>
      </c>
      <c r="F85" s="4" t="str">
        <f t="shared" si="5"/>
        <v>m2</v>
      </c>
    </row>
    <row r="86" spans="1:6" x14ac:dyDescent="0.25">
      <c r="A86" s="2" t="s">
        <v>94</v>
      </c>
      <c r="B86" s="2">
        <v>70</v>
      </c>
      <c r="C86" s="2">
        <v>15</v>
      </c>
      <c r="D86" s="4">
        <f t="shared" si="3"/>
        <v>141.44851454097017</v>
      </c>
      <c r="E86" s="4">
        <f t="shared" si="4"/>
        <v>48.571596127777198</v>
      </c>
      <c r="F86" s="4" t="str">
        <f t="shared" si="5"/>
        <v>m2</v>
      </c>
    </row>
    <row r="87" spans="1:6" x14ac:dyDescent="0.25">
      <c r="A87" s="2" t="s">
        <v>95</v>
      </c>
      <c r="B87" s="2">
        <v>99</v>
      </c>
      <c r="C87" s="2">
        <v>55</v>
      </c>
      <c r="D87" s="4">
        <f t="shared" si="3"/>
        <v>98.871186571921598</v>
      </c>
      <c r="E87" s="4">
        <f t="shared" si="4"/>
        <v>8.7418775352235176</v>
      </c>
      <c r="F87" s="4" t="str">
        <f t="shared" si="5"/>
        <v>m2</v>
      </c>
    </row>
    <row r="88" spans="1:6" x14ac:dyDescent="0.25">
      <c r="A88" s="2" t="s">
        <v>96</v>
      </c>
      <c r="B88" s="2">
        <v>132</v>
      </c>
      <c r="C88" s="2">
        <v>40</v>
      </c>
      <c r="D88" s="4">
        <f t="shared" si="3"/>
        <v>75.578092854381978</v>
      </c>
      <c r="E88" s="4">
        <f t="shared" si="4"/>
        <v>44.990059593324879</v>
      </c>
      <c r="F88" s="4" t="str">
        <f t="shared" si="5"/>
        <v>m2</v>
      </c>
    </row>
    <row r="89" spans="1:6" x14ac:dyDescent="0.25">
      <c r="A89" s="2" t="s">
        <v>97</v>
      </c>
      <c r="B89" s="2">
        <v>52</v>
      </c>
      <c r="C89" s="2">
        <v>46</v>
      </c>
      <c r="D89" s="4">
        <f t="shared" si="3"/>
        <v>146.54198096295218</v>
      </c>
      <c r="E89" s="4">
        <f t="shared" si="4"/>
        <v>41.127934995743153</v>
      </c>
      <c r="F89" s="4" t="str">
        <f t="shared" si="5"/>
        <v>m2</v>
      </c>
    </row>
    <row r="90" spans="1:6" x14ac:dyDescent="0.25">
      <c r="A90" s="2" t="s">
        <v>98</v>
      </c>
      <c r="B90" s="2">
        <v>31</v>
      </c>
      <c r="C90" s="2">
        <v>46</v>
      </c>
      <c r="D90" s="4">
        <f t="shared" si="3"/>
        <v>166.91853128692827</v>
      </c>
      <c r="E90" s="4">
        <f t="shared" si="4"/>
        <v>61.439451898698607</v>
      </c>
      <c r="F90" s="4" t="str">
        <f t="shared" si="5"/>
        <v>m2</v>
      </c>
    </row>
    <row r="91" spans="1:6" x14ac:dyDescent="0.25">
      <c r="A91" s="2" t="s">
        <v>99</v>
      </c>
      <c r="B91" s="2">
        <v>73</v>
      </c>
      <c r="C91" s="2">
        <v>50</v>
      </c>
      <c r="D91" s="4">
        <f t="shared" si="3"/>
        <v>125.23074373497968</v>
      </c>
      <c r="E91" s="4">
        <f t="shared" si="4"/>
        <v>20.105312045505414</v>
      </c>
      <c r="F91" s="4" t="str">
        <f t="shared" si="5"/>
        <v>m2</v>
      </c>
    </row>
    <row r="92" spans="1:6" x14ac:dyDescent="0.25">
      <c r="A92" s="2" t="s">
        <v>100</v>
      </c>
      <c r="B92" s="2">
        <v>63</v>
      </c>
      <c r="C92" s="2">
        <v>41</v>
      </c>
      <c r="D92" s="4">
        <f t="shared" si="3"/>
        <v>137.41930133597748</v>
      </c>
      <c r="E92" s="4">
        <f t="shared" si="4"/>
        <v>33.237559830269845</v>
      </c>
      <c r="F92" s="4" t="str">
        <f t="shared" si="5"/>
        <v>m2</v>
      </c>
    </row>
    <row r="93" spans="1:6" x14ac:dyDescent="0.25">
      <c r="A93" s="2" t="s">
        <v>101</v>
      </c>
      <c r="B93" s="2">
        <v>128</v>
      </c>
      <c r="C93" s="2">
        <v>37</v>
      </c>
      <c r="D93" s="4">
        <f t="shared" si="3"/>
        <v>80.576627100870496</v>
      </c>
      <c r="E93" s="4">
        <f t="shared" si="4"/>
        <v>42.830042596582807</v>
      </c>
      <c r="F93" s="4" t="str">
        <f t="shared" si="5"/>
        <v>m2</v>
      </c>
    </row>
    <row r="94" spans="1:6" x14ac:dyDescent="0.25">
      <c r="A94" s="2" t="s">
        <v>102</v>
      </c>
      <c r="B94" s="2">
        <v>49</v>
      </c>
      <c r="C94" s="2">
        <v>23</v>
      </c>
      <c r="D94" s="4">
        <f t="shared" si="3"/>
        <v>156.84957110844761</v>
      </c>
      <c r="E94" s="4">
        <f t="shared" si="4"/>
        <v>55.231609238381949</v>
      </c>
      <c r="F94" s="4" t="str">
        <f t="shared" si="5"/>
        <v>m2</v>
      </c>
    </row>
    <row r="95" spans="1:6" x14ac:dyDescent="0.25">
      <c r="A95" s="2" t="s">
        <v>103</v>
      </c>
      <c r="B95" s="2">
        <v>48</v>
      </c>
      <c r="C95" s="2">
        <v>21</v>
      </c>
      <c r="D95" s="4">
        <f t="shared" si="3"/>
        <v>158.55354610129098</v>
      </c>
      <c r="E95" s="4">
        <f t="shared" si="4"/>
        <v>57.295091495301932</v>
      </c>
      <c r="F95" s="4" t="str">
        <f t="shared" si="5"/>
        <v>m2</v>
      </c>
    </row>
    <row r="96" spans="1:6" x14ac:dyDescent="0.25">
      <c r="A96" s="2" t="s">
        <v>104</v>
      </c>
      <c r="B96" s="2">
        <v>54</v>
      </c>
      <c r="C96" s="2">
        <v>29</v>
      </c>
      <c r="D96" s="4">
        <f t="shared" ref="D96:D159" si="6">SQRT(((B96-$H$1)^2+(C96-$I$1)^2))</f>
        <v>149.95720036278283</v>
      </c>
      <c r="E96" s="4">
        <f t="shared" ref="E96:E159" si="7">SQRT(((B96-$K$1)^2+(C96-$L$1)^2))</f>
        <v>47.555553398749538</v>
      </c>
      <c r="F96" s="4" t="str">
        <f t="shared" ref="F96:F159" si="8">IF(MIN(D96:E96)=D96,$D$1,$E$1)</f>
        <v>m2</v>
      </c>
    </row>
    <row r="97" spans="1:6" x14ac:dyDescent="0.25">
      <c r="A97" s="2" t="s">
        <v>105</v>
      </c>
      <c r="B97" s="2">
        <v>142</v>
      </c>
      <c r="C97" s="2">
        <v>40</v>
      </c>
      <c r="D97" s="4">
        <f t="shared" si="6"/>
        <v>67.67941639862471</v>
      </c>
      <c r="E97" s="4">
        <f t="shared" si="7"/>
        <v>54.240743156011753</v>
      </c>
      <c r="F97" s="4" t="str">
        <f t="shared" si="8"/>
        <v>m2</v>
      </c>
    </row>
    <row r="98" spans="1:6" x14ac:dyDescent="0.25">
      <c r="A98" s="2" t="s">
        <v>106</v>
      </c>
      <c r="B98" s="2">
        <v>6</v>
      </c>
      <c r="C98" s="2">
        <v>14</v>
      </c>
      <c r="D98" s="4">
        <f t="shared" si="6"/>
        <v>200.15047019962654</v>
      </c>
      <c r="E98" s="4">
        <f t="shared" si="7"/>
        <v>96.149874548003197</v>
      </c>
      <c r="F98" s="4" t="str">
        <f t="shared" si="8"/>
        <v>m2</v>
      </c>
    </row>
    <row r="99" spans="1:6" x14ac:dyDescent="0.25">
      <c r="A99" s="2" t="s">
        <v>107</v>
      </c>
      <c r="B99" s="2">
        <v>10</v>
      </c>
      <c r="C99" s="2">
        <v>21</v>
      </c>
      <c r="D99" s="4">
        <f t="shared" si="6"/>
        <v>194.02859814984333</v>
      </c>
      <c r="E99" s="4">
        <f t="shared" si="7"/>
        <v>89.456732765142249</v>
      </c>
      <c r="F99" s="4" t="str">
        <f t="shared" si="8"/>
        <v>m2</v>
      </c>
    </row>
    <row r="100" spans="1:6" x14ac:dyDescent="0.25">
      <c r="A100" s="2" t="s">
        <v>108</v>
      </c>
      <c r="B100" s="2">
        <v>50</v>
      </c>
      <c r="C100" s="2">
        <v>45</v>
      </c>
      <c r="D100" s="4">
        <f t="shared" si="6"/>
        <v>148.7329936633376</v>
      </c>
      <c r="E100" s="4">
        <f t="shared" si="7"/>
        <v>43.340656995771276</v>
      </c>
      <c r="F100" s="4" t="str">
        <f t="shared" si="8"/>
        <v>m2</v>
      </c>
    </row>
    <row r="101" spans="1:6" x14ac:dyDescent="0.25">
      <c r="A101" s="2" t="s">
        <v>109</v>
      </c>
      <c r="B101" s="2">
        <v>115</v>
      </c>
      <c r="C101" s="2">
        <v>52</v>
      </c>
      <c r="D101" s="4">
        <f t="shared" si="6"/>
        <v>84.775980198948901</v>
      </c>
      <c r="E101" s="4">
        <f t="shared" si="7"/>
        <v>24.832096594247581</v>
      </c>
      <c r="F101" s="4" t="str">
        <f t="shared" si="8"/>
        <v>m2</v>
      </c>
    </row>
    <row r="102" spans="1:6" x14ac:dyDescent="0.25">
      <c r="A102" s="2" t="s">
        <v>110</v>
      </c>
      <c r="B102" s="2">
        <v>67</v>
      </c>
      <c r="C102" s="2">
        <v>40</v>
      </c>
      <c r="D102" s="4">
        <f t="shared" si="6"/>
        <v>133.94808236743103</v>
      </c>
      <c r="E102" s="4">
        <f t="shared" si="7"/>
        <v>30.535431040433963</v>
      </c>
      <c r="F102" s="4" t="str">
        <f t="shared" si="8"/>
        <v>m2</v>
      </c>
    </row>
    <row r="103" spans="1:6" x14ac:dyDescent="0.25">
      <c r="A103" s="2" t="s">
        <v>111</v>
      </c>
      <c r="B103" s="2">
        <v>111</v>
      </c>
      <c r="C103" s="2">
        <v>19</v>
      </c>
      <c r="D103" s="4">
        <f t="shared" si="6"/>
        <v>104.97990201377908</v>
      </c>
      <c r="E103" s="4">
        <f t="shared" si="7"/>
        <v>44.450219320538736</v>
      </c>
      <c r="F103" s="4" t="str">
        <f t="shared" si="8"/>
        <v>m2</v>
      </c>
    </row>
    <row r="104" spans="1:6" x14ac:dyDescent="0.25">
      <c r="A104" s="2" t="s">
        <v>112</v>
      </c>
      <c r="B104" s="2">
        <v>87</v>
      </c>
      <c r="C104" s="2">
        <v>33</v>
      </c>
      <c r="D104" s="4">
        <f t="shared" si="6"/>
        <v>118.07410924490233</v>
      </c>
      <c r="E104" s="4">
        <f t="shared" si="7"/>
        <v>26.072792362556857</v>
      </c>
      <c r="F104" s="4" t="str">
        <f t="shared" si="8"/>
        <v>m2</v>
      </c>
    </row>
    <row r="105" spans="1:6" x14ac:dyDescent="0.25">
      <c r="A105" s="2" t="s">
        <v>113</v>
      </c>
      <c r="B105" s="2">
        <v>66</v>
      </c>
      <c r="C105" s="2">
        <v>48</v>
      </c>
      <c r="D105" s="4">
        <f t="shared" si="6"/>
        <v>132.51077326042093</v>
      </c>
      <c r="E105" s="4">
        <f t="shared" si="7"/>
        <v>27.306570075671143</v>
      </c>
      <c r="F105" s="4" t="str">
        <f t="shared" si="8"/>
        <v>m2</v>
      </c>
    </row>
    <row r="106" spans="1:6" x14ac:dyDescent="0.25">
      <c r="A106" s="2" t="s">
        <v>114</v>
      </c>
      <c r="B106" s="2">
        <v>94</v>
      </c>
      <c r="C106" s="2">
        <v>58</v>
      </c>
      <c r="D106" s="4">
        <f t="shared" si="6"/>
        <v>102.87058404906143</v>
      </c>
      <c r="E106" s="4">
        <f t="shared" si="7"/>
        <v>2.9926336079967748</v>
      </c>
      <c r="F106" s="4" t="str">
        <f t="shared" si="8"/>
        <v>m2</v>
      </c>
    </row>
    <row r="107" spans="1:6" x14ac:dyDescent="0.25">
      <c r="A107" s="2" t="s">
        <v>115</v>
      </c>
      <c r="B107" s="2">
        <v>27</v>
      </c>
      <c r="C107" s="2">
        <v>50</v>
      </c>
      <c r="D107" s="4">
        <f t="shared" si="6"/>
        <v>169.97601262376131</v>
      </c>
      <c r="E107" s="4">
        <f t="shared" si="7"/>
        <v>64.696529236751104</v>
      </c>
      <c r="F107" s="4" t="str">
        <f t="shared" si="8"/>
        <v>m2</v>
      </c>
    </row>
    <row r="108" spans="1:6" x14ac:dyDescent="0.25">
      <c r="A108" s="2" t="s">
        <v>116</v>
      </c>
      <c r="B108" s="2">
        <v>83</v>
      </c>
      <c r="C108" s="2">
        <v>30</v>
      </c>
      <c r="D108" s="4">
        <f t="shared" si="6"/>
        <v>122.97983570254223</v>
      </c>
      <c r="E108" s="4">
        <f t="shared" si="7"/>
        <v>29.868002748680343</v>
      </c>
      <c r="F108" s="4" t="str">
        <f t="shared" si="8"/>
        <v>m2</v>
      </c>
    </row>
    <row r="109" spans="1:6" x14ac:dyDescent="0.25">
      <c r="A109" s="2" t="s">
        <v>117</v>
      </c>
      <c r="B109" s="2">
        <v>103</v>
      </c>
      <c r="C109" s="2">
        <v>15</v>
      </c>
      <c r="D109" s="4">
        <f t="shared" si="6"/>
        <v>113.75669081364595</v>
      </c>
      <c r="E109" s="4">
        <f t="shared" si="7"/>
        <v>45.337005248340894</v>
      </c>
      <c r="F109" s="4" t="str">
        <f t="shared" si="8"/>
        <v>m2</v>
      </c>
    </row>
    <row r="110" spans="1:6" x14ac:dyDescent="0.25">
      <c r="A110" s="2" t="s">
        <v>118</v>
      </c>
      <c r="B110" s="2">
        <v>83</v>
      </c>
      <c r="C110" s="2">
        <v>59</v>
      </c>
      <c r="D110" s="4">
        <f t="shared" si="6"/>
        <v>113.32878704532277</v>
      </c>
      <c r="E110" s="4">
        <f t="shared" si="7"/>
        <v>8.1062791355542974</v>
      </c>
      <c r="F110" s="4" t="str">
        <f t="shared" si="8"/>
        <v>m2</v>
      </c>
    </row>
    <row r="111" spans="1:6" x14ac:dyDescent="0.25">
      <c r="A111" s="2" t="s">
        <v>119</v>
      </c>
      <c r="B111" s="2">
        <v>42</v>
      </c>
      <c r="C111" s="2">
        <v>39</v>
      </c>
      <c r="D111" s="4">
        <f t="shared" si="6"/>
        <v>158.06515376563152</v>
      </c>
      <c r="E111" s="4">
        <f t="shared" si="7"/>
        <v>52.924726943588901</v>
      </c>
      <c r="F111" s="4" t="str">
        <f t="shared" si="8"/>
        <v>m2</v>
      </c>
    </row>
    <row r="112" spans="1:6" x14ac:dyDescent="0.25">
      <c r="A112" s="2" t="s">
        <v>120</v>
      </c>
      <c r="B112" s="2">
        <v>30</v>
      </c>
      <c r="C112" s="2">
        <v>18</v>
      </c>
      <c r="D112" s="4">
        <f t="shared" si="6"/>
        <v>176.32337989718599</v>
      </c>
      <c r="E112" s="4">
        <f t="shared" si="7"/>
        <v>73.443180335559248</v>
      </c>
      <c r="F112" s="4" t="str">
        <f t="shared" si="8"/>
        <v>m2</v>
      </c>
    </row>
    <row r="113" spans="1:6" x14ac:dyDescent="0.25">
      <c r="A113" s="2" t="s">
        <v>121</v>
      </c>
      <c r="B113" s="2">
        <v>127</v>
      </c>
      <c r="C113" s="2">
        <v>52</v>
      </c>
      <c r="D113" s="4">
        <f t="shared" si="6"/>
        <v>73.791010022603629</v>
      </c>
      <c r="E113" s="4">
        <f t="shared" si="7"/>
        <v>36.526378527752463</v>
      </c>
      <c r="F113" s="4" t="str">
        <f t="shared" si="8"/>
        <v>m2</v>
      </c>
    </row>
    <row r="114" spans="1:6" x14ac:dyDescent="0.25">
      <c r="A114" s="2" t="s">
        <v>122</v>
      </c>
      <c r="B114" s="2">
        <v>132</v>
      </c>
      <c r="C114" s="2">
        <v>50</v>
      </c>
      <c r="D114" s="4">
        <f t="shared" si="6"/>
        <v>70.25400597316812</v>
      </c>
      <c r="E114" s="4">
        <f t="shared" si="7"/>
        <v>41.822778868574289</v>
      </c>
      <c r="F114" s="4" t="str">
        <f t="shared" si="8"/>
        <v>m2</v>
      </c>
    </row>
    <row r="115" spans="1:6" x14ac:dyDescent="0.25">
      <c r="A115" s="2" t="s">
        <v>123</v>
      </c>
      <c r="B115" s="2">
        <v>75</v>
      </c>
      <c r="C115" s="2">
        <v>18</v>
      </c>
      <c r="D115" s="4">
        <f t="shared" si="6"/>
        <v>135.62073248163489</v>
      </c>
      <c r="E115" s="4">
        <f t="shared" si="7"/>
        <v>43.814245849680887</v>
      </c>
      <c r="F115" s="4" t="str">
        <f t="shared" si="8"/>
        <v>m2</v>
      </c>
    </row>
    <row r="116" spans="1:6" x14ac:dyDescent="0.25">
      <c r="A116" s="2" t="s">
        <v>124</v>
      </c>
      <c r="B116" s="2">
        <v>55</v>
      </c>
      <c r="C116" s="2">
        <v>40</v>
      </c>
      <c r="D116" s="4">
        <f t="shared" si="6"/>
        <v>145.34078033521311</v>
      </c>
      <c r="E116" s="4">
        <f t="shared" si="7"/>
        <v>40.680084092077337</v>
      </c>
      <c r="F116" s="4" t="str">
        <f t="shared" si="8"/>
        <v>m2</v>
      </c>
    </row>
    <row r="117" spans="1:6" x14ac:dyDescent="0.25">
      <c r="A117" s="2" t="s">
        <v>125</v>
      </c>
      <c r="B117" s="2">
        <v>41</v>
      </c>
      <c r="C117" s="2">
        <v>41</v>
      </c>
      <c r="D117" s="4">
        <f t="shared" si="6"/>
        <v>158.47227755557728</v>
      </c>
      <c r="E117" s="4">
        <f t="shared" si="7"/>
        <v>53.152980353679524</v>
      </c>
      <c r="F117" s="4" t="str">
        <f t="shared" si="8"/>
        <v>m2</v>
      </c>
    </row>
    <row r="118" spans="1:6" x14ac:dyDescent="0.25">
      <c r="A118" s="2" t="s">
        <v>126</v>
      </c>
      <c r="B118" s="2">
        <v>11</v>
      </c>
      <c r="C118" s="2">
        <v>17</v>
      </c>
      <c r="D118" s="4">
        <f t="shared" si="6"/>
        <v>194.42096474953448</v>
      </c>
      <c r="E118" s="4">
        <f t="shared" si="7"/>
        <v>90.328769307309457</v>
      </c>
      <c r="F118" s="4" t="str">
        <f t="shared" si="8"/>
        <v>m2</v>
      </c>
    </row>
    <row r="119" spans="1:6" x14ac:dyDescent="0.25">
      <c r="A119" s="2" t="s">
        <v>127</v>
      </c>
      <c r="B119" s="2">
        <v>111</v>
      </c>
      <c r="C119" s="2">
        <v>47</v>
      </c>
      <c r="D119" s="4">
        <f t="shared" si="6"/>
        <v>90.414578951545522</v>
      </c>
      <c r="E119" s="4">
        <f t="shared" si="7"/>
        <v>23.106973706317916</v>
      </c>
      <c r="F119" s="4" t="str">
        <f t="shared" si="8"/>
        <v>m2</v>
      </c>
    </row>
    <row r="120" spans="1:6" x14ac:dyDescent="0.25">
      <c r="A120" s="2" t="s">
        <v>128</v>
      </c>
      <c r="B120" s="2">
        <v>51</v>
      </c>
      <c r="C120" s="2">
        <v>40</v>
      </c>
      <c r="D120" s="4">
        <f t="shared" si="6"/>
        <v>149.15951298736374</v>
      </c>
      <c r="E120" s="4">
        <f t="shared" si="7"/>
        <v>44.268364995516599</v>
      </c>
      <c r="F120" s="4" t="str">
        <f t="shared" si="8"/>
        <v>m2</v>
      </c>
    </row>
    <row r="121" spans="1:6" x14ac:dyDescent="0.25">
      <c r="A121" s="2" t="s">
        <v>129</v>
      </c>
      <c r="B121" s="2">
        <v>92</v>
      </c>
      <c r="C121" s="2">
        <v>14</v>
      </c>
      <c r="D121" s="4">
        <f t="shared" si="6"/>
        <v>123.2595885450137</v>
      </c>
      <c r="E121" s="4">
        <f t="shared" si="7"/>
        <v>44.757033820218169</v>
      </c>
      <c r="F121" s="4" t="str">
        <f t="shared" si="8"/>
        <v>m2</v>
      </c>
    </row>
    <row r="122" spans="1:6" x14ac:dyDescent="0.25">
      <c r="A122" s="2" t="s">
        <v>130</v>
      </c>
      <c r="B122" s="2">
        <v>1</v>
      </c>
      <c r="C122" s="2">
        <v>43</v>
      </c>
      <c r="D122" s="4">
        <f t="shared" si="6"/>
        <v>196.85618370423373</v>
      </c>
      <c r="E122" s="4">
        <f t="shared" si="7"/>
        <v>91.468224924682687</v>
      </c>
      <c r="F122" s="4" t="str">
        <f t="shared" si="8"/>
        <v>m2</v>
      </c>
    </row>
    <row r="123" spans="1:6" x14ac:dyDescent="0.25">
      <c r="A123" s="2" t="s">
        <v>131</v>
      </c>
      <c r="B123" s="2">
        <v>42</v>
      </c>
      <c r="C123" s="2">
        <v>19</v>
      </c>
      <c r="D123" s="4">
        <f t="shared" si="6"/>
        <v>164.85581082694057</v>
      </c>
      <c r="E123" s="4">
        <f t="shared" si="7"/>
        <v>63.173950184359725</v>
      </c>
      <c r="F123" s="4" t="str">
        <f t="shared" si="8"/>
        <v>m2</v>
      </c>
    </row>
    <row r="124" spans="1:6" x14ac:dyDescent="0.25">
      <c r="A124" s="2" t="s">
        <v>132</v>
      </c>
      <c r="B124" s="2">
        <v>110</v>
      </c>
      <c r="C124" s="2">
        <v>47</v>
      </c>
      <c r="D124" s="4">
        <f t="shared" si="6"/>
        <v>91.328804648533392</v>
      </c>
      <c r="E124" s="4">
        <f t="shared" si="7"/>
        <v>22.251673156729503</v>
      </c>
      <c r="F124" s="4" t="str">
        <f t="shared" si="8"/>
        <v>m2</v>
      </c>
    </row>
    <row r="125" spans="1:6" x14ac:dyDescent="0.25">
      <c r="A125" s="2" t="s">
        <v>133</v>
      </c>
      <c r="B125" s="2">
        <v>46</v>
      </c>
      <c r="C125" s="2">
        <v>36</v>
      </c>
      <c r="D125" s="4">
        <f t="shared" si="6"/>
        <v>155.13188511083777</v>
      </c>
      <c r="E125" s="4">
        <f t="shared" si="7"/>
        <v>50.514314935392598</v>
      </c>
      <c r="F125" s="4" t="str">
        <f t="shared" si="8"/>
        <v>m2</v>
      </c>
    </row>
    <row r="126" spans="1:6" x14ac:dyDescent="0.25">
      <c r="A126" s="2" t="s">
        <v>134</v>
      </c>
      <c r="B126" s="2">
        <v>143</v>
      </c>
      <c r="C126" s="2">
        <v>56</v>
      </c>
      <c r="D126" s="4">
        <f t="shared" si="6"/>
        <v>57.724106833709321</v>
      </c>
      <c r="E126" s="4">
        <f t="shared" si="7"/>
        <v>51.970342367863722</v>
      </c>
      <c r="F126" s="4" t="str">
        <f t="shared" si="8"/>
        <v>m2</v>
      </c>
    </row>
    <row r="127" spans="1:6" x14ac:dyDescent="0.25">
      <c r="A127" s="2" t="s">
        <v>135</v>
      </c>
      <c r="B127" s="2">
        <v>31</v>
      </c>
      <c r="C127" s="2">
        <v>52</v>
      </c>
      <c r="D127" s="4">
        <f t="shared" si="6"/>
        <v>165.66213335716967</v>
      </c>
      <c r="E127" s="4">
        <f t="shared" si="7"/>
        <v>60.47999563210751</v>
      </c>
      <c r="F127" s="4" t="str">
        <f t="shared" si="8"/>
        <v>m2</v>
      </c>
    </row>
    <row r="128" spans="1:6" x14ac:dyDescent="0.25">
      <c r="A128" s="2" t="s">
        <v>136</v>
      </c>
      <c r="B128" s="2">
        <v>3</v>
      </c>
      <c r="C128" s="2">
        <v>54</v>
      </c>
      <c r="D128" s="4">
        <f t="shared" si="6"/>
        <v>192.89630136126294</v>
      </c>
      <c r="E128" s="4">
        <f t="shared" si="7"/>
        <v>88.230210410834104</v>
      </c>
      <c r="F128" s="4" t="str">
        <f t="shared" si="8"/>
        <v>m2</v>
      </c>
    </row>
    <row r="129" spans="1:6" x14ac:dyDescent="0.25">
      <c r="A129" s="2" t="s">
        <v>137</v>
      </c>
      <c r="B129" s="2">
        <v>109</v>
      </c>
      <c r="C129" s="2">
        <v>41</v>
      </c>
      <c r="D129" s="4">
        <f t="shared" si="6"/>
        <v>94.799571141494496</v>
      </c>
      <c r="E129" s="4">
        <f t="shared" si="7"/>
        <v>25.205516472314571</v>
      </c>
      <c r="F129" s="4" t="str">
        <f t="shared" si="8"/>
        <v>m2</v>
      </c>
    </row>
    <row r="130" spans="1:6" x14ac:dyDescent="0.25">
      <c r="A130" s="2" t="s">
        <v>138</v>
      </c>
      <c r="B130" s="2">
        <v>142</v>
      </c>
      <c r="C130" s="2">
        <v>45</v>
      </c>
      <c r="D130" s="4">
        <f t="shared" si="6"/>
        <v>64.554566236205233</v>
      </c>
      <c r="E130" s="4">
        <f t="shared" si="7"/>
        <v>52.721702392428547</v>
      </c>
      <c r="F130" s="4" t="str">
        <f t="shared" si="8"/>
        <v>m2</v>
      </c>
    </row>
    <row r="131" spans="1:6" x14ac:dyDescent="0.25">
      <c r="A131" s="2" t="s">
        <v>139</v>
      </c>
      <c r="B131" s="2">
        <v>139</v>
      </c>
      <c r="C131" s="2">
        <v>47</v>
      </c>
      <c r="D131" s="4">
        <f t="shared" si="6"/>
        <v>65.836698609007016</v>
      </c>
      <c r="E131" s="4">
        <f t="shared" si="7"/>
        <v>49.317339246961609</v>
      </c>
      <c r="F131" s="4" t="str">
        <f t="shared" si="8"/>
        <v>m2</v>
      </c>
    </row>
    <row r="132" spans="1:6" x14ac:dyDescent="0.25">
      <c r="A132" s="2" t="s">
        <v>140</v>
      </c>
      <c r="B132" s="2">
        <v>31</v>
      </c>
      <c r="C132" s="2">
        <v>56</v>
      </c>
      <c r="D132" s="4">
        <f t="shared" si="6"/>
        <v>164.94051449767463</v>
      </c>
      <c r="E132" s="4">
        <f t="shared" si="7"/>
        <v>60.165152868510518</v>
      </c>
      <c r="F132" s="4" t="str">
        <f t="shared" si="8"/>
        <v>m2</v>
      </c>
    </row>
    <row r="133" spans="1:6" x14ac:dyDescent="0.25">
      <c r="A133" s="2" t="s">
        <v>141</v>
      </c>
      <c r="B133" s="2">
        <v>2</v>
      </c>
      <c r="C133" s="2">
        <v>46</v>
      </c>
      <c r="D133" s="4">
        <f t="shared" si="6"/>
        <v>195.27487232560671</v>
      </c>
      <c r="E133" s="4">
        <f t="shared" si="7"/>
        <v>90.009684242788651</v>
      </c>
      <c r="F133" s="4" t="str">
        <f t="shared" si="8"/>
        <v>m2</v>
      </c>
    </row>
    <row r="134" spans="1:6" x14ac:dyDescent="0.25">
      <c r="A134" s="2" t="s">
        <v>142</v>
      </c>
      <c r="B134" s="2">
        <v>77</v>
      </c>
      <c r="C134" s="2">
        <v>57</v>
      </c>
      <c r="D134" s="4">
        <f t="shared" si="6"/>
        <v>119.622846293164</v>
      </c>
      <c r="E134" s="4">
        <f t="shared" si="7"/>
        <v>14.210286199245527</v>
      </c>
      <c r="F134" s="4" t="str">
        <f t="shared" si="8"/>
        <v>m2</v>
      </c>
    </row>
    <row r="135" spans="1:6" x14ac:dyDescent="0.25">
      <c r="A135" s="2" t="s">
        <v>143</v>
      </c>
      <c r="B135" s="2">
        <v>65</v>
      </c>
      <c r="C135" s="2">
        <v>48</v>
      </c>
      <c r="D135" s="4">
        <f t="shared" si="6"/>
        <v>133.47381579028678</v>
      </c>
      <c r="E135" s="4">
        <f t="shared" si="7"/>
        <v>28.228593548155878</v>
      </c>
      <c r="F135" s="4" t="str">
        <f t="shared" si="8"/>
        <v>m2</v>
      </c>
    </row>
    <row r="136" spans="1:6" x14ac:dyDescent="0.25">
      <c r="A136" s="2" t="s">
        <v>144</v>
      </c>
      <c r="B136" s="2">
        <v>17</v>
      </c>
      <c r="C136" s="2">
        <v>59</v>
      </c>
      <c r="D136" s="4">
        <f t="shared" si="6"/>
        <v>178.31323309029909</v>
      </c>
      <c r="E136" s="4">
        <f t="shared" si="7"/>
        <v>74.102790584748874</v>
      </c>
      <c r="F136" s="4" t="str">
        <f t="shared" si="8"/>
        <v>m2</v>
      </c>
    </row>
    <row r="137" spans="1:6" x14ac:dyDescent="0.25">
      <c r="A137" s="2" t="s">
        <v>145</v>
      </c>
      <c r="B137" s="2">
        <v>80</v>
      </c>
      <c r="C137" s="2">
        <v>53</v>
      </c>
      <c r="D137" s="4">
        <f t="shared" si="6"/>
        <v>117.68488027922216</v>
      </c>
      <c r="E137" s="4">
        <f t="shared" si="7"/>
        <v>12.502092329071376</v>
      </c>
      <c r="F137" s="4" t="str">
        <f t="shared" si="8"/>
        <v>m2</v>
      </c>
    </row>
    <row r="138" spans="1:6" x14ac:dyDescent="0.25">
      <c r="A138" s="2" t="s">
        <v>146</v>
      </c>
      <c r="B138" s="2">
        <v>74</v>
      </c>
      <c r="C138" s="2">
        <v>58</v>
      </c>
      <c r="D138" s="4">
        <f t="shared" si="6"/>
        <v>122.33334170817587</v>
      </c>
      <c r="E138" s="4">
        <f t="shared" si="7"/>
        <v>17.118713272342884</v>
      </c>
      <c r="F138" s="4" t="str">
        <f t="shared" si="8"/>
        <v>m2</v>
      </c>
    </row>
    <row r="139" spans="1:6" x14ac:dyDescent="0.25">
      <c r="A139" s="2" t="s">
        <v>147</v>
      </c>
      <c r="B139" s="2">
        <v>64</v>
      </c>
      <c r="C139" s="2">
        <v>54</v>
      </c>
      <c r="D139" s="4">
        <f t="shared" si="6"/>
        <v>132.96450772528559</v>
      </c>
      <c r="E139" s="4">
        <f t="shared" si="7"/>
        <v>27.515120209871526</v>
      </c>
      <c r="F139" s="4" t="str">
        <f t="shared" si="8"/>
        <v>m2</v>
      </c>
    </row>
    <row r="140" spans="1:6" x14ac:dyDescent="0.25">
      <c r="A140" s="2" t="s">
        <v>148</v>
      </c>
      <c r="B140" s="2">
        <v>144</v>
      </c>
      <c r="C140" s="2">
        <v>46</v>
      </c>
      <c r="D140" s="4">
        <f t="shared" si="6"/>
        <v>62.356561823375202</v>
      </c>
      <c r="E140" s="4">
        <f t="shared" si="7"/>
        <v>54.412061083410379</v>
      </c>
      <c r="F140" s="4" t="str">
        <f t="shared" si="8"/>
        <v>m2</v>
      </c>
    </row>
    <row r="141" spans="1:6" x14ac:dyDescent="0.25">
      <c r="A141" s="2" t="s">
        <v>149</v>
      </c>
      <c r="B141" s="2">
        <v>22</v>
      </c>
      <c r="C141" s="2">
        <v>52</v>
      </c>
      <c r="D141" s="4">
        <f t="shared" si="6"/>
        <v>174.50310218546576</v>
      </c>
      <c r="E141" s="4">
        <f t="shared" si="7"/>
        <v>69.431062150486966</v>
      </c>
      <c r="F141" s="4" t="str">
        <f t="shared" si="8"/>
        <v>m2</v>
      </c>
    </row>
    <row r="142" spans="1:6" x14ac:dyDescent="0.25">
      <c r="A142" s="2" t="s">
        <v>150</v>
      </c>
      <c r="B142" s="2">
        <v>105</v>
      </c>
      <c r="C142" s="2">
        <v>54</v>
      </c>
      <c r="D142" s="4">
        <f t="shared" si="6"/>
        <v>93.462436204574729</v>
      </c>
      <c r="E142" s="4">
        <f t="shared" si="7"/>
        <v>14.686324910483174</v>
      </c>
      <c r="F142" s="4" t="str">
        <f t="shared" si="8"/>
        <v>m2</v>
      </c>
    </row>
    <row r="143" spans="1:6" x14ac:dyDescent="0.25">
      <c r="A143" s="2" t="s">
        <v>151</v>
      </c>
      <c r="B143" s="2">
        <v>93</v>
      </c>
      <c r="C143" s="2">
        <v>54</v>
      </c>
      <c r="D143" s="4">
        <f t="shared" si="6"/>
        <v>104.90510302092451</v>
      </c>
      <c r="E143" s="4">
        <f t="shared" si="7"/>
        <v>5.1132017650063997</v>
      </c>
      <c r="F143" s="4" t="str">
        <f t="shared" si="8"/>
        <v>m2</v>
      </c>
    </row>
    <row r="144" spans="1:6" x14ac:dyDescent="0.25">
      <c r="A144" s="2" t="s">
        <v>152</v>
      </c>
      <c r="B144" s="2">
        <v>38</v>
      </c>
      <c r="C144" s="2">
        <v>54</v>
      </c>
      <c r="D144" s="4">
        <f t="shared" si="6"/>
        <v>158.40952173019821</v>
      </c>
      <c r="E144" s="4">
        <f t="shared" si="7"/>
        <v>53.31420706349622</v>
      </c>
      <c r="F144" s="4" t="str">
        <f t="shared" si="8"/>
        <v>m2</v>
      </c>
    </row>
    <row r="145" spans="1:6" x14ac:dyDescent="0.25">
      <c r="A145" s="2" t="s">
        <v>153</v>
      </c>
      <c r="B145" s="2">
        <v>147</v>
      </c>
      <c r="C145" s="2">
        <v>45</v>
      </c>
      <c r="D145" s="4">
        <f t="shared" si="6"/>
        <v>60.63431094867849</v>
      </c>
      <c r="E145" s="4">
        <f t="shared" si="7"/>
        <v>57.563480446447656</v>
      </c>
      <c r="F145" s="4" t="str">
        <f t="shared" si="8"/>
        <v>m2</v>
      </c>
    </row>
    <row r="146" spans="1:6" x14ac:dyDescent="0.25">
      <c r="A146" s="2" t="s">
        <v>154</v>
      </c>
      <c r="B146" s="2">
        <v>83</v>
      </c>
      <c r="C146" s="2">
        <v>57</v>
      </c>
      <c r="D146" s="4">
        <f t="shared" si="6"/>
        <v>113.78355999884012</v>
      </c>
      <c r="E146" s="4">
        <f t="shared" si="7"/>
        <v>8.2887808155225642</v>
      </c>
      <c r="F146" s="4" t="str">
        <f t="shared" si="8"/>
        <v>m2</v>
      </c>
    </row>
    <row r="147" spans="1:6" x14ac:dyDescent="0.25">
      <c r="A147" s="2" t="s">
        <v>155</v>
      </c>
      <c r="B147" s="2">
        <v>7</v>
      </c>
      <c r="C147" s="2">
        <v>47</v>
      </c>
      <c r="D147" s="4">
        <f t="shared" si="6"/>
        <v>190.17586894145023</v>
      </c>
      <c r="E147" s="4">
        <f t="shared" si="7"/>
        <v>84.918923523836227</v>
      </c>
      <c r="F147" s="4" t="str">
        <f t="shared" si="8"/>
        <v>m2</v>
      </c>
    </row>
    <row r="148" spans="1:6" x14ac:dyDescent="0.25">
      <c r="A148" s="2" t="s">
        <v>156</v>
      </c>
      <c r="B148" s="2">
        <v>160</v>
      </c>
      <c r="C148" s="2">
        <v>52</v>
      </c>
      <c r="D148" s="4">
        <f t="shared" si="6"/>
        <v>46.260302627418916</v>
      </c>
      <c r="E148" s="4">
        <f t="shared" si="7"/>
        <v>69.227309805024518</v>
      </c>
      <c r="F148" s="4" t="str">
        <f t="shared" si="8"/>
        <v>m1</v>
      </c>
    </row>
    <row r="149" spans="1:6" x14ac:dyDescent="0.25">
      <c r="A149" s="2" t="s">
        <v>157</v>
      </c>
      <c r="B149" s="2">
        <v>105</v>
      </c>
      <c r="C149" s="2">
        <v>49</v>
      </c>
      <c r="D149" s="4">
        <f t="shared" si="6"/>
        <v>95.175828672032182</v>
      </c>
      <c r="E149" s="4">
        <f t="shared" si="7"/>
        <v>16.975525156439449</v>
      </c>
      <c r="F149" s="4" t="str">
        <f t="shared" si="8"/>
        <v>m2</v>
      </c>
    </row>
    <row r="150" spans="1:6" x14ac:dyDescent="0.25">
      <c r="A150" s="2" t="s">
        <v>158</v>
      </c>
      <c r="B150" s="2">
        <v>172</v>
      </c>
      <c r="C150" s="2">
        <v>49</v>
      </c>
      <c r="D150" s="4">
        <f t="shared" si="6"/>
        <v>40.964481809392993</v>
      </c>
      <c r="E150" s="4">
        <f t="shared" si="7"/>
        <v>81.482832050094075</v>
      </c>
      <c r="F150" s="4" t="str">
        <f t="shared" si="8"/>
        <v>m1</v>
      </c>
    </row>
    <row r="151" spans="1:6" x14ac:dyDescent="0.25">
      <c r="A151" s="2" t="s">
        <v>159</v>
      </c>
      <c r="B151" s="2">
        <v>242</v>
      </c>
      <c r="C151" s="2">
        <v>54</v>
      </c>
      <c r="D151" s="4">
        <f t="shared" si="6"/>
        <v>56.868834871730833</v>
      </c>
      <c r="E151" s="4">
        <f t="shared" si="7"/>
        <v>150.97231830796596</v>
      </c>
      <c r="F151" s="4" t="str">
        <f t="shared" si="8"/>
        <v>m1</v>
      </c>
    </row>
    <row r="152" spans="1:6" x14ac:dyDescent="0.25">
      <c r="A152" s="2" t="s">
        <v>160</v>
      </c>
      <c r="B152" s="2">
        <v>153</v>
      </c>
      <c r="C152" s="2">
        <v>58</v>
      </c>
      <c r="D152" s="4">
        <f t="shared" si="6"/>
        <v>48.096187390029201</v>
      </c>
      <c r="E152" s="4">
        <f t="shared" si="7"/>
        <v>61.902157601768863</v>
      </c>
      <c r="F152" s="4" t="str">
        <f t="shared" si="8"/>
        <v>m1</v>
      </c>
    </row>
    <row r="153" spans="1:6" x14ac:dyDescent="0.25">
      <c r="A153" s="2" t="s">
        <v>161</v>
      </c>
      <c r="B153" s="2">
        <v>161</v>
      </c>
      <c r="C153" s="2">
        <v>53</v>
      </c>
      <c r="D153" s="4">
        <f t="shared" si="6"/>
        <v>44.84661471296247</v>
      </c>
      <c r="E153" s="4">
        <f t="shared" si="7"/>
        <v>70.133584219254544</v>
      </c>
      <c r="F153" s="4" t="str">
        <f t="shared" si="8"/>
        <v>m1</v>
      </c>
    </row>
    <row r="154" spans="1:6" x14ac:dyDescent="0.25">
      <c r="A154" s="2" t="s">
        <v>162</v>
      </c>
      <c r="B154" s="2">
        <v>219</v>
      </c>
      <c r="C154" s="2">
        <v>50</v>
      </c>
      <c r="D154" s="4">
        <f t="shared" si="6"/>
        <v>42.3105936012212</v>
      </c>
      <c r="E154" s="4">
        <f t="shared" si="7"/>
        <v>128.19646566371327</v>
      </c>
      <c r="F154" s="4" t="str">
        <f t="shared" si="8"/>
        <v>m1</v>
      </c>
    </row>
    <row r="155" spans="1:6" x14ac:dyDescent="0.25">
      <c r="A155" s="2" t="s">
        <v>163</v>
      </c>
      <c r="B155" s="2">
        <v>154</v>
      </c>
      <c r="C155" s="2">
        <v>49</v>
      </c>
      <c r="D155" s="4">
        <f t="shared" si="6"/>
        <v>52.714981340383368</v>
      </c>
      <c r="E155" s="4">
        <f t="shared" si="7"/>
        <v>63.648542467788815</v>
      </c>
      <c r="F155" s="4" t="str">
        <f t="shared" si="8"/>
        <v>m1</v>
      </c>
    </row>
    <row r="156" spans="1:6" x14ac:dyDescent="0.25">
      <c r="A156" s="2" t="s">
        <v>164</v>
      </c>
      <c r="B156" s="2">
        <v>211</v>
      </c>
      <c r="C156" s="2">
        <v>54</v>
      </c>
      <c r="D156" s="4">
        <f t="shared" si="6"/>
        <v>34.537703999460739</v>
      </c>
      <c r="E156" s="4">
        <f t="shared" si="7"/>
        <v>119.99161367351763</v>
      </c>
      <c r="F156" s="4" t="str">
        <f t="shared" si="8"/>
        <v>m1</v>
      </c>
    </row>
    <row r="157" spans="1:6" x14ac:dyDescent="0.25">
      <c r="A157" s="2" t="s">
        <v>165</v>
      </c>
      <c r="B157" s="2">
        <v>160</v>
      </c>
      <c r="C157" s="2">
        <v>56</v>
      </c>
      <c r="D157" s="4">
        <f t="shared" si="6"/>
        <v>43.605578696874609</v>
      </c>
      <c r="E157" s="4">
        <f t="shared" si="7"/>
        <v>68.952419615792607</v>
      </c>
      <c r="F157" s="4" t="str">
        <f t="shared" si="8"/>
        <v>m1</v>
      </c>
    </row>
    <row r="158" spans="1:6" x14ac:dyDescent="0.25">
      <c r="A158" s="2" t="s">
        <v>166</v>
      </c>
      <c r="B158" s="2">
        <v>128</v>
      </c>
      <c r="C158" s="2">
        <v>54</v>
      </c>
      <c r="D158" s="4">
        <f t="shared" si="6"/>
        <v>72.039392944178445</v>
      </c>
      <c r="E158" s="4">
        <f t="shared" si="7"/>
        <v>37.201874656513688</v>
      </c>
      <c r="F158" s="4" t="str">
        <f t="shared" si="8"/>
        <v>m2</v>
      </c>
    </row>
    <row r="159" spans="1:6" x14ac:dyDescent="0.25">
      <c r="A159" s="2" t="s">
        <v>167</v>
      </c>
      <c r="B159" s="2">
        <v>229</v>
      </c>
      <c r="C159" s="2">
        <v>47</v>
      </c>
      <c r="D159" s="4">
        <f t="shared" si="6"/>
        <v>51.093722165338853</v>
      </c>
      <c r="E159" s="4">
        <f t="shared" si="7"/>
        <v>138.39716309791001</v>
      </c>
      <c r="F159" s="4" t="str">
        <f t="shared" si="8"/>
        <v>m1</v>
      </c>
    </row>
    <row r="160" spans="1:6" x14ac:dyDescent="0.25">
      <c r="A160" s="2" t="s">
        <v>168</v>
      </c>
      <c r="B160" s="2">
        <v>211</v>
      </c>
      <c r="C160" s="2">
        <v>59</v>
      </c>
      <c r="D160" s="4">
        <f t="shared" ref="D160:D223" si="9">SQRT(((B160-$H$1)^2+(C160-$I$1)^2))</f>
        <v>30.325593406239314</v>
      </c>
      <c r="E160" s="4">
        <f t="shared" ref="E160:E223" si="10">SQRT(((B160-$K$1)^2+(C160-$L$1)^2))</f>
        <v>119.89790255469056</v>
      </c>
      <c r="F160" s="4" t="str">
        <f t="shared" ref="F160:F223" si="11">IF(MIN(D160:E160)=D160,$D$1,$E$1)</f>
        <v>m1</v>
      </c>
    </row>
    <row r="161" spans="1:6" x14ac:dyDescent="0.25">
      <c r="A161" s="2" t="s">
        <v>169</v>
      </c>
      <c r="B161" s="2">
        <v>224</v>
      </c>
      <c r="C161" s="2">
        <v>54</v>
      </c>
      <c r="D161" s="4">
        <f t="shared" si="9"/>
        <v>42.600996085456337</v>
      </c>
      <c r="E161" s="4">
        <f t="shared" si="10"/>
        <v>132.98242716483961</v>
      </c>
      <c r="F161" s="4" t="str">
        <f t="shared" si="11"/>
        <v>m1</v>
      </c>
    </row>
    <row r="162" spans="1:6" x14ac:dyDescent="0.25">
      <c r="A162" s="2" t="s">
        <v>170</v>
      </c>
      <c r="B162" s="2">
        <v>198</v>
      </c>
      <c r="C162" s="2">
        <v>53</v>
      </c>
      <c r="D162" s="4">
        <f t="shared" si="9"/>
        <v>31.136849616787362</v>
      </c>
      <c r="E162" s="4">
        <f t="shared" si="10"/>
        <v>107.0520659879559</v>
      </c>
      <c r="F162" s="4" t="str">
        <f t="shared" si="11"/>
        <v>m1</v>
      </c>
    </row>
    <row r="163" spans="1:6" x14ac:dyDescent="0.25">
      <c r="A163" s="2" t="s">
        <v>171</v>
      </c>
      <c r="B163" s="2">
        <v>205</v>
      </c>
      <c r="C163" s="2">
        <v>59</v>
      </c>
      <c r="D163" s="4">
        <f t="shared" si="9"/>
        <v>27.323404705651857</v>
      </c>
      <c r="E163" s="4">
        <f t="shared" si="10"/>
        <v>113.89791650188675</v>
      </c>
      <c r="F163" s="4" t="str">
        <f t="shared" si="11"/>
        <v>m1</v>
      </c>
    </row>
    <row r="164" spans="1:6" x14ac:dyDescent="0.25">
      <c r="A164" s="2" t="s">
        <v>172</v>
      </c>
      <c r="B164" s="2">
        <v>112</v>
      </c>
      <c r="C164" s="2">
        <v>52</v>
      </c>
      <c r="D164" s="4">
        <f t="shared" si="9"/>
        <v>87.563863741424299</v>
      </c>
      <c r="E164" s="4">
        <f t="shared" si="10"/>
        <v>21.960127378828858</v>
      </c>
      <c r="F164" s="4" t="str">
        <f t="shared" si="11"/>
        <v>m2</v>
      </c>
    </row>
    <row r="165" spans="1:6" x14ac:dyDescent="0.25">
      <c r="A165" s="2" t="s">
        <v>173</v>
      </c>
      <c r="B165" s="2">
        <v>150</v>
      </c>
      <c r="C165" s="2">
        <v>45</v>
      </c>
      <c r="D165" s="4">
        <f t="shared" si="9"/>
        <v>58.361427754869787</v>
      </c>
      <c r="E165" s="4">
        <f t="shared" si="10"/>
        <v>60.480906969722398</v>
      </c>
      <c r="F165" s="4" t="str">
        <f t="shared" si="11"/>
        <v>m1</v>
      </c>
    </row>
    <row r="166" spans="1:6" x14ac:dyDescent="0.25">
      <c r="A166" s="2" t="s">
        <v>174</v>
      </c>
      <c r="B166" s="2">
        <v>113</v>
      </c>
      <c r="C166" s="2">
        <v>51</v>
      </c>
      <c r="D166" s="4">
        <f t="shared" si="9"/>
        <v>87.00527592166334</v>
      </c>
      <c r="E166" s="4">
        <f t="shared" si="10"/>
        <v>23.227968767782212</v>
      </c>
      <c r="F166" s="4" t="str">
        <f t="shared" si="11"/>
        <v>m2</v>
      </c>
    </row>
    <row r="167" spans="1:6" x14ac:dyDescent="0.25">
      <c r="A167" s="2" t="s">
        <v>175</v>
      </c>
      <c r="B167" s="2">
        <v>226</v>
      </c>
      <c r="C167" s="2">
        <v>49</v>
      </c>
      <c r="D167" s="4">
        <f t="shared" si="9"/>
        <v>47.578853564345749</v>
      </c>
      <c r="E167" s="4">
        <f t="shared" si="10"/>
        <v>135.24938743223055</v>
      </c>
      <c r="F167" s="4" t="str">
        <f t="shared" si="11"/>
        <v>m1</v>
      </c>
    </row>
    <row r="168" spans="1:6" x14ac:dyDescent="0.25">
      <c r="A168" s="2" t="s">
        <v>176</v>
      </c>
      <c r="B168" s="2">
        <v>116</v>
      </c>
      <c r="C168" s="2">
        <v>53</v>
      </c>
      <c r="D168" s="4">
        <f t="shared" si="9"/>
        <v>83.475565710722179</v>
      </c>
      <c r="E168" s="4">
        <f t="shared" si="10"/>
        <v>25.552538697054494</v>
      </c>
      <c r="F168" s="4" t="str">
        <f t="shared" si="11"/>
        <v>m2</v>
      </c>
    </row>
    <row r="169" spans="1:6" x14ac:dyDescent="0.25">
      <c r="A169" s="2" t="s">
        <v>177</v>
      </c>
      <c r="B169" s="2">
        <v>170</v>
      </c>
      <c r="C169" s="2">
        <v>52</v>
      </c>
      <c r="D169" s="4">
        <f t="shared" si="9"/>
        <v>39.603925105136071</v>
      </c>
      <c r="E169" s="4">
        <f t="shared" si="10"/>
        <v>79.185687966616527</v>
      </c>
      <c r="F169" s="4" t="str">
        <f t="shared" si="11"/>
        <v>m1</v>
      </c>
    </row>
    <row r="170" spans="1:6" x14ac:dyDescent="0.25">
      <c r="A170" s="2" t="s">
        <v>178</v>
      </c>
      <c r="B170" s="2">
        <v>99</v>
      </c>
      <c r="C170" s="2">
        <v>56</v>
      </c>
      <c r="D170" s="4">
        <f t="shared" si="9"/>
        <v>98.584325618817147</v>
      </c>
      <c r="E170" s="4">
        <f t="shared" si="10"/>
        <v>8.3620786798929139</v>
      </c>
      <c r="F170" s="4" t="str">
        <f t="shared" si="11"/>
        <v>m2</v>
      </c>
    </row>
    <row r="171" spans="1:6" x14ac:dyDescent="0.25">
      <c r="A171" s="2" t="s">
        <v>179</v>
      </c>
      <c r="B171" s="2">
        <v>104</v>
      </c>
      <c r="C171" s="2">
        <v>56</v>
      </c>
      <c r="D171" s="4">
        <f t="shared" si="9"/>
        <v>93.798171090876764</v>
      </c>
      <c r="E171" s="4">
        <f t="shared" si="10"/>
        <v>13.187142897590649</v>
      </c>
      <c r="F171" s="4" t="str">
        <f t="shared" si="11"/>
        <v>m2</v>
      </c>
    </row>
    <row r="172" spans="1:6" x14ac:dyDescent="0.25">
      <c r="A172" s="2" t="s">
        <v>180</v>
      </c>
      <c r="B172" s="2">
        <v>135</v>
      </c>
      <c r="C172" s="2">
        <v>46</v>
      </c>
      <c r="D172" s="4">
        <f t="shared" si="9"/>
        <v>69.726114521998525</v>
      </c>
      <c r="E172" s="4">
        <f t="shared" si="10"/>
        <v>45.711212093203365</v>
      </c>
      <c r="F172" s="4" t="str">
        <f t="shared" si="11"/>
        <v>m2</v>
      </c>
    </row>
    <row r="173" spans="1:6" x14ac:dyDescent="0.25">
      <c r="A173" s="2" t="s">
        <v>181</v>
      </c>
      <c r="B173" s="2">
        <v>151</v>
      </c>
      <c r="C173" s="2">
        <v>59</v>
      </c>
      <c r="D173" s="4">
        <f t="shared" si="9"/>
        <v>49.283972122014177</v>
      </c>
      <c r="E173" s="4">
        <f t="shared" si="10"/>
        <v>59.898167764807319</v>
      </c>
      <c r="F173" s="4" t="str">
        <f t="shared" si="11"/>
        <v>m1</v>
      </c>
    </row>
    <row r="174" spans="1:6" x14ac:dyDescent="0.25">
      <c r="A174" s="2" t="s">
        <v>182</v>
      </c>
      <c r="B174" s="2">
        <v>137</v>
      </c>
      <c r="C174" s="2">
        <v>55</v>
      </c>
      <c r="D174" s="4">
        <f t="shared" si="9"/>
        <v>63.495209389689734</v>
      </c>
      <c r="E174" s="4">
        <f t="shared" si="10"/>
        <v>46.05041688499454</v>
      </c>
      <c r="F174" s="4" t="str">
        <f t="shared" si="11"/>
        <v>m2</v>
      </c>
    </row>
    <row r="175" spans="1:6" x14ac:dyDescent="0.25">
      <c r="A175" s="2" t="s">
        <v>183</v>
      </c>
      <c r="B175" s="2">
        <v>217</v>
      </c>
      <c r="C175" s="2">
        <v>55</v>
      </c>
      <c r="D175" s="4">
        <f t="shared" si="9"/>
        <v>37.138711499772171</v>
      </c>
      <c r="E175" s="4">
        <f t="shared" si="10"/>
        <v>125.95341576363018</v>
      </c>
      <c r="F175" s="4" t="str">
        <f t="shared" si="11"/>
        <v>m1</v>
      </c>
    </row>
    <row r="176" spans="1:6" x14ac:dyDescent="0.25">
      <c r="A176" s="2" t="s">
        <v>184</v>
      </c>
      <c r="B176" s="2">
        <v>92</v>
      </c>
      <c r="C176" s="2">
        <v>51</v>
      </c>
      <c r="D176" s="4">
        <f t="shared" si="9"/>
        <v>106.74812382727761</v>
      </c>
      <c r="E176" s="4">
        <f t="shared" si="10"/>
        <v>7.7998554906800264</v>
      </c>
      <c r="F176" s="4" t="str">
        <f t="shared" si="11"/>
        <v>m2</v>
      </c>
    </row>
    <row r="177" spans="1:6" x14ac:dyDescent="0.25">
      <c r="A177" s="2" t="s">
        <v>185</v>
      </c>
      <c r="B177" s="2">
        <v>235</v>
      </c>
      <c r="C177" s="2">
        <v>54</v>
      </c>
      <c r="D177" s="4">
        <f t="shared" si="9"/>
        <v>51.040627743800293</v>
      </c>
      <c r="E177" s="4">
        <f t="shared" si="10"/>
        <v>143.97594926288187</v>
      </c>
      <c r="F177" s="4" t="str">
        <f t="shared" si="11"/>
        <v>m1</v>
      </c>
    </row>
    <row r="178" spans="1:6" x14ac:dyDescent="0.25">
      <c r="A178" s="2" t="s">
        <v>186</v>
      </c>
      <c r="B178" s="2">
        <v>181</v>
      </c>
      <c r="C178" s="2">
        <v>51</v>
      </c>
      <c r="D178" s="4">
        <f t="shared" si="9"/>
        <v>35.148456198873397</v>
      </c>
      <c r="E178" s="4">
        <f t="shared" si="10"/>
        <v>90.230910852293547</v>
      </c>
      <c r="F178" s="4" t="str">
        <f t="shared" si="11"/>
        <v>m1</v>
      </c>
    </row>
    <row r="179" spans="1:6" x14ac:dyDescent="0.25">
      <c r="A179" s="2" t="s">
        <v>187</v>
      </c>
      <c r="B179" s="2">
        <v>169</v>
      </c>
      <c r="C179" s="2">
        <v>60</v>
      </c>
      <c r="D179" s="4">
        <f t="shared" si="9"/>
        <v>34.226994374262972</v>
      </c>
      <c r="E179" s="4">
        <f t="shared" si="10"/>
        <v>77.907697945830719</v>
      </c>
      <c r="F179" s="4" t="str">
        <f t="shared" si="11"/>
        <v>m1</v>
      </c>
    </row>
    <row r="180" spans="1:6" x14ac:dyDescent="0.25">
      <c r="A180" s="2" t="s">
        <v>188</v>
      </c>
      <c r="B180" s="2">
        <v>200</v>
      </c>
      <c r="C180" s="2">
        <v>51</v>
      </c>
      <c r="D180" s="4">
        <f t="shared" si="9"/>
        <v>33.443669263621914</v>
      </c>
      <c r="E180" s="4">
        <f t="shared" si="10"/>
        <v>109.17292480031401</v>
      </c>
      <c r="F180" s="4" t="str">
        <f t="shared" si="11"/>
        <v>m1</v>
      </c>
    </row>
    <row r="181" spans="1:6" x14ac:dyDescent="0.25">
      <c r="A181" s="2" t="s">
        <v>189</v>
      </c>
      <c r="B181" s="2">
        <v>139</v>
      </c>
      <c r="C181" s="2">
        <v>51</v>
      </c>
      <c r="D181" s="4">
        <f t="shared" si="9"/>
        <v>63.685962174110003</v>
      </c>
      <c r="E181" s="4">
        <f t="shared" si="10"/>
        <v>48.520260700365121</v>
      </c>
      <c r="F181" s="4" t="str">
        <f t="shared" si="11"/>
        <v>m2</v>
      </c>
    </row>
    <row r="182" spans="1:6" x14ac:dyDescent="0.25">
      <c r="A182" s="2" t="s">
        <v>190</v>
      </c>
      <c r="B182" s="2">
        <v>98</v>
      </c>
      <c r="C182" s="2">
        <v>45</v>
      </c>
      <c r="D182" s="4">
        <f t="shared" si="9"/>
        <v>103.16050004683036</v>
      </c>
      <c r="E182" s="4">
        <f t="shared" si="10"/>
        <v>15.381345102804055</v>
      </c>
      <c r="F182" s="4" t="str">
        <f t="shared" si="11"/>
        <v>m2</v>
      </c>
    </row>
    <row r="183" spans="1:6" x14ac:dyDescent="0.25">
      <c r="A183" s="2" t="s">
        <v>191</v>
      </c>
      <c r="B183" s="2">
        <v>198</v>
      </c>
      <c r="C183" s="2">
        <v>59</v>
      </c>
      <c r="D183" s="4">
        <f t="shared" si="9"/>
        <v>25.212095222766511</v>
      </c>
      <c r="E183" s="4">
        <f t="shared" si="10"/>
        <v>106.89793475243995</v>
      </c>
      <c r="F183" s="4" t="str">
        <f t="shared" si="11"/>
        <v>m1</v>
      </c>
    </row>
    <row r="184" spans="1:6" x14ac:dyDescent="0.25">
      <c r="A184" s="2" t="s">
        <v>192</v>
      </c>
      <c r="B184" s="2">
        <v>179</v>
      </c>
      <c r="C184" s="2">
        <v>53</v>
      </c>
      <c r="D184" s="4">
        <f t="shared" si="9"/>
        <v>34.094550347643896</v>
      </c>
      <c r="E184" s="4">
        <f t="shared" si="10"/>
        <v>88.085382419952012</v>
      </c>
      <c r="F184" s="4" t="str">
        <f t="shared" si="11"/>
        <v>m1</v>
      </c>
    </row>
    <row r="185" spans="1:6" x14ac:dyDescent="0.25">
      <c r="A185" s="2" t="s">
        <v>193</v>
      </c>
      <c r="B185" s="2">
        <v>244</v>
      </c>
      <c r="C185" s="2">
        <v>50</v>
      </c>
      <c r="D185" s="4">
        <f t="shared" si="9"/>
        <v>60.71510967024448</v>
      </c>
      <c r="E185" s="4">
        <f t="shared" si="10"/>
        <v>153.14769243586858</v>
      </c>
      <c r="F185" s="4" t="str">
        <f t="shared" si="11"/>
        <v>m1</v>
      </c>
    </row>
    <row r="186" spans="1:6" x14ac:dyDescent="0.25">
      <c r="A186" s="2" t="s">
        <v>194</v>
      </c>
      <c r="B186" s="2">
        <v>197</v>
      </c>
      <c r="C186" s="2">
        <v>53</v>
      </c>
      <c r="D186" s="4">
        <f t="shared" si="9"/>
        <v>31.010609081460281</v>
      </c>
      <c r="E186" s="4">
        <f t="shared" si="10"/>
        <v>106.05352213245496</v>
      </c>
      <c r="F186" s="4" t="str">
        <f t="shared" si="11"/>
        <v>m1</v>
      </c>
    </row>
    <row r="187" spans="1:6" x14ac:dyDescent="0.25">
      <c r="A187" s="2" t="s">
        <v>195</v>
      </c>
      <c r="B187" s="2">
        <v>153</v>
      </c>
      <c r="C187" s="2">
        <v>56</v>
      </c>
      <c r="D187" s="4">
        <f t="shared" si="9"/>
        <v>49.198859684979816</v>
      </c>
      <c r="E187" s="4">
        <f t="shared" si="10"/>
        <v>61.958609101064255</v>
      </c>
      <c r="F187" s="4" t="str">
        <f t="shared" si="11"/>
        <v>m1</v>
      </c>
    </row>
    <row r="188" spans="1:6" x14ac:dyDescent="0.25">
      <c r="A188" s="2" t="s">
        <v>196</v>
      </c>
      <c r="B188" s="2">
        <v>244</v>
      </c>
      <c r="C188" s="2">
        <v>47</v>
      </c>
      <c r="D188" s="4">
        <f t="shared" si="9"/>
        <v>62.435978181959378</v>
      </c>
      <c r="E188" s="4">
        <f t="shared" si="10"/>
        <v>153.34830904645727</v>
      </c>
      <c r="F188" s="4" t="str">
        <f t="shared" si="11"/>
        <v>m1</v>
      </c>
    </row>
    <row r="189" spans="1:6" x14ac:dyDescent="0.25">
      <c r="A189" s="2" t="s">
        <v>197</v>
      </c>
      <c r="B189" s="2">
        <v>89</v>
      </c>
      <c r="C189" s="2">
        <v>59</v>
      </c>
      <c r="D189" s="4">
        <f t="shared" si="9"/>
        <v>107.48249691878128</v>
      </c>
      <c r="E189" s="4">
        <f t="shared" si="10"/>
        <v>2.1174076052640305</v>
      </c>
      <c r="F189" s="4" t="str">
        <f t="shared" si="11"/>
        <v>m2</v>
      </c>
    </row>
    <row r="190" spans="1:6" x14ac:dyDescent="0.25">
      <c r="A190" s="2" t="s">
        <v>198</v>
      </c>
      <c r="B190" s="2">
        <v>111</v>
      </c>
      <c r="C190" s="2">
        <v>58</v>
      </c>
      <c r="D190" s="4">
        <f t="shared" si="9"/>
        <v>86.520119315306374</v>
      </c>
      <c r="E190" s="4">
        <f t="shared" si="10"/>
        <v>19.911693573151474</v>
      </c>
      <c r="F190" s="4" t="str">
        <f t="shared" si="11"/>
        <v>m2</v>
      </c>
    </row>
    <row r="191" spans="1:6" x14ac:dyDescent="0.25">
      <c r="A191" s="2" t="s">
        <v>199</v>
      </c>
      <c r="B191" s="2">
        <v>113</v>
      </c>
      <c r="C191" s="2">
        <v>45</v>
      </c>
      <c r="D191" s="4">
        <f t="shared" si="9"/>
        <v>89.441442836871516</v>
      </c>
      <c r="E191" s="4">
        <f t="shared" si="10"/>
        <v>25.855655300723321</v>
      </c>
      <c r="F191" s="4" t="str">
        <f t="shared" si="11"/>
        <v>m2</v>
      </c>
    </row>
    <row r="192" spans="1:6" x14ac:dyDescent="0.25">
      <c r="A192" s="2" t="s">
        <v>200</v>
      </c>
      <c r="B192" s="2">
        <v>146</v>
      </c>
      <c r="C192" s="2">
        <v>51</v>
      </c>
      <c r="D192" s="4">
        <f t="shared" si="9"/>
        <v>57.799831117652602</v>
      </c>
      <c r="E192" s="4">
        <f t="shared" si="10"/>
        <v>55.441704767848314</v>
      </c>
      <c r="F192" s="4" t="str">
        <f t="shared" si="11"/>
        <v>m2</v>
      </c>
    </row>
    <row r="193" spans="1:6" x14ac:dyDescent="0.25">
      <c r="A193" s="2" t="s">
        <v>201</v>
      </c>
      <c r="B193" s="2">
        <v>138</v>
      </c>
      <c r="C193" s="2">
        <v>47</v>
      </c>
      <c r="D193" s="4">
        <f t="shared" si="9"/>
        <v>66.668023484110748</v>
      </c>
      <c r="E193" s="4">
        <f t="shared" si="10"/>
        <v>48.346713174830711</v>
      </c>
      <c r="F193" s="4" t="str">
        <f t="shared" si="11"/>
        <v>m2</v>
      </c>
    </row>
    <row r="194" spans="1:6" x14ac:dyDescent="0.25">
      <c r="A194" s="2" t="s">
        <v>202</v>
      </c>
      <c r="B194" s="2">
        <v>225</v>
      </c>
      <c r="C194" s="2">
        <v>45</v>
      </c>
      <c r="D194" s="4">
        <f t="shared" si="9"/>
        <v>49.944678232352537</v>
      </c>
      <c r="E194" s="4">
        <f t="shared" si="10"/>
        <v>134.60158162953195</v>
      </c>
      <c r="F194" s="4" t="str">
        <f t="shared" si="11"/>
        <v>m1</v>
      </c>
    </row>
    <row r="195" spans="1:6" x14ac:dyDescent="0.25">
      <c r="A195" s="2" t="s">
        <v>203</v>
      </c>
      <c r="B195" s="2">
        <v>229</v>
      </c>
      <c r="C195" s="2">
        <v>59</v>
      </c>
      <c r="D195" s="4">
        <f t="shared" si="9"/>
        <v>43.253452204831788</v>
      </c>
      <c r="E195" s="4">
        <f t="shared" si="10"/>
        <v>137.89786799528119</v>
      </c>
      <c r="F195" s="4" t="str">
        <f t="shared" si="11"/>
        <v>m1</v>
      </c>
    </row>
    <row r="196" spans="1:6" x14ac:dyDescent="0.25">
      <c r="A196" s="2" t="s">
        <v>204</v>
      </c>
      <c r="B196" s="2">
        <v>150</v>
      </c>
      <c r="C196" s="2">
        <v>60</v>
      </c>
      <c r="D196" s="4">
        <f t="shared" si="9"/>
        <v>49.663085921491245</v>
      </c>
      <c r="E196" s="4">
        <f t="shared" si="10"/>
        <v>58.910942642248777</v>
      </c>
      <c r="F196" s="4" t="str">
        <f t="shared" si="11"/>
        <v>m1</v>
      </c>
    </row>
    <row r="197" spans="1:6" x14ac:dyDescent="0.25">
      <c r="A197" s="2" t="s">
        <v>205</v>
      </c>
      <c r="B197" s="2">
        <v>210</v>
      </c>
      <c r="C197" s="2">
        <v>55</v>
      </c>
      <c r="D197" s="4">
        <f t="shared" si="9"/>
        <v>33.171752933426923</v>
      </c>
      <c r="E197" s="4">
        <f t="shared" si="10"/>
        <v>118.95669806022705</v>
      </c>
      <c r="F197" s="4" t="str">
        <f t="shared" si="11"/>
        <v>m1</v>
      </c>
    </row>
    <row r="198" spans="1:6" x14ac:dyDescent="0.25">
      <c r="A198" s="2" t="s">
        <v>206</v>
      </c>
      <c r="B198" s="2">
        <v>238</v>
      </c>
      <c r="C198" s="2">
        <v>53</v>
      </c>
      <c r="D198" s="4">
        <f t="shared" si="9"/>
        <v>54.067777300993377</v>
      </c>
      <c r="E198" s="4">
        <f t="shared" si="10"/>
        <v>147.01005358788123</v>
      </c>
      <c r="F198" s="4" t="str">
        <f t="shared" si="11"/>
        <v>m1</v>
      </c>
    </row>
    <row r="199" spans="1:6" x14ac:dyDescent="0.25">
      <c r="A199" s="2" t="s">
        <v>207</v>
      </c>
      <c r="B199" s="2">
        <v>149</v>
      </c>
      <c r="C199" s="2">
        <v>58</v>
      </c>
      <c r="D199" s="4">
        <f t="shared" si="9"/>
        <v>51.515639641138741</v>
      </c>
      <c r="E199" s="4">
        <f t="shared" si="10"/>
        <v>57.902469838444944</v>
      </c>
      <c r="F199" s="4" t="str">
        <f t="shared" si="11"/>
        <v>m1</v>
      </c>
    </row>
    <row r="200" spans="1:6" x14ac:dyDescent="0.25">
      <c r="A200" s="2" t="s">
        <v>208</v>
      </c>
      <c r="B200" s="2">
        <v>151</v>
      </c>
      <c r="C200" s="2">
        <v>45</v>
      </c>
      <c r="D200" s="4">
        <f t="shared" si="9"/>
        <v>57.618588823765634</v>
      </c>
      <c r="E200" s="4">
        <f t="shared" si="10"/>
        <v>61.455149364969948</v>
      </c>
      <c r="F200" s="4" t="str">
        <f t="shared" si="11"/>
        <v>m1</v>
      </c>
    </row>
    <row r="201" spans="1:6" x14ac:dyDescent="0.25">
      <c r="A201" s="2" t="s">
        <v>209</v>
      </c>
      <c r="B201" s="2">
        <v>99</v>
      </c>
      <c r="C201" s="2">
        <v>47</v>
      </c>
      <c r="D201" s="4">
        <f t="shared" si="9"/>
        <v>101.49211666687144</v>
      </c>
      <c r="E201" s="4">
        <f t="shared" si="10"/>
        <v>14.155879583334039</v>
      </c>
      <c r="F201" s="4" t="str">
        <f t="shared" si="11"/>
        <v>m2</v>
      </c>
    </row>
    <row r="202" spans="1:6" x14ac:dyDescent="0.25">
      <c r="A202" s="2" t="s">
        <v>210</v>
      </c>
      <c r="B202" s="2">
        <v>112</v>
      </c>
      <c r="C202" s="2">
        <v>57</v>
      </c>
      <c r="D202" s="4">
        <f t="shared" si="9"/>
        <v>85.873272042078966</v>
      </c>
      <c r="E202" s="4">
        <f t="shared" si="10"/>
        <v>20.970619436100566</v>
      </c>
      <c r="F202" s="4" t="str">
        <f t="shared" si="11"/>
        <v>m2</v>
      </c>
    </row>
    <row r="203" spans="1:6" x14ac:dyDescent="0.25">
      <c r="A203" s="2" t="s">
        <v>211</v>
      </c>
      <c r="B203" s="2">
        <v>96</v>
      </c>
      <c r="C203" s="2">
        <v>45</v>
      </c>
      <c r="D203" s="4">
        <f t="shared" si="9"/>
        <v>105.01617833934692</v>
      </c>
      <c r="E203" s="4">
        <f t="shared" si="10"/>
        <v>14.59435596353782</v>
      </c>
      <c r="F203" s="4" t="str">
        <f t="shared" si="11"/>
        <v>m2</v>
      </c>
    </row>
    <row r="204" spans="1:6" x14ac:dyDescent="0.25">
      <c r="A204" s="2" t="s">
        <v>212</v>
      </c>
      <c r="B204" s="2">
        <v>247</v>
      </c>
      <c r="C204" s="2">
        <v>49</v>
      </c>
      <c r="D204" s="4">
        <f t="shared" si="9"/>
        <v>63.769141471862646</v>
      </c>
      <c r="E204" s="4">
        <f t="shared" si="10"/>
        <v>156.2021049416274</v>
      </c>
      <c r="F204" s="4" t="str">
        <f t="shared" si="11"/>
        <v>m1</v>
      </c>
    </row>
    <row r="205" spans="1:6" x14ac:dyDescent="0.25">
      <c r="A205" s="2" t="s">
        <v>213</v>
      </c>
      <c r="B205" s="2">
        <v>197</v>
      </c>
      <c r="C205" s="2">
        <v>60</v>
      </c>
      <c r="D205" s="4">
        <f t="shared" si="9"/>
        <v>24.065783607516234</v>
      </c>
      <c r="E205" s="4">
        <f t="shared" si="10"/>
        <v>105.90503819816237</v>
      </c>
      <c r="F205" s="4" t="str">
        <f t="shared" si="11"/>
        <v>m1</v>
      </c>
    </row>
    <row r="206" spans="1:6" x14ac:dyDescent="0.25">
      <c r="A206" s="2" t="s">
        <v>214</v>
      </c>
      <c r="B206" s="2">
        <v>222</v>
      </c>
      <c r="C206" s="2">
        <v>45</v>
      </c>
      <c r="D206" s="4">
        <f t="shared" si="9"/>
        <v>48.113764125948151</v>
      </c>
      <c r="E206" s="4">
        <f t="shared" si="10"/>
        <v>131.61762781025914</v>
      </c>
      <c r="F206" s="4" t="str">
        <f t="shared" si="11"/>
        <v>m1</v>
      </c>
    </row>
    <row r="207" spans="1:6" x14ac:dyDescent="0.25">
      <c r="A207" s="2" t="s">
        <v>215</v>
      </c>
      <c r="B207" s="2">
        <v>161</v>
      </c>
      <c r="C207" s="2">
        <v>51</v>
      </c>
      <c r="D207" s="4">
        <f t="shared" si="9"/>
        <v>46.243955324544096</v>
      </c>
      <c r="E207" s="4">
        <f t="shared" si="10"/>
        <v>70.32575460969845</v>
      </c>
      <c r="F207" s="4" t="str">
        <f t="shared" si="11"/>
        <v>m1</v>
      </c>
    </row>
    <row r="208" spans="1:6" x14ac:dyDescent="0.25">
      <c r="A208" s="2" t="s">
        <v>216</v>
      </c>
      <c r="B208" s="2">
        <v>192</v>
      </c>
      <c r="C208" s="2">
        <v>51</v>
      </c>
      <c r="D208" s="4">
        <f t="shared" si="9"/>
        <v>32.859013773578965</v>
      </c>
      <c r="E208" s="4">
        <f t="shared" si="10"/>
        <v>101.19469010146041</v>
      </c>
      <c r="F208" s="4" t="str">
        <f t="shared" si="11"/>
        <v>m1</v>
      </c>
    </row>
    <row r="209" spans="1:6" x14ac:dyDescent="0.25">
      <c r="A209" s="2" t="s">
        <v>217</v>
      </c>
      <c r="B209" s="2">
        <v>196</v>
      </c>
      <c r="C209" s="2">
        <v>45</v>
      </c>
      <c r="D209" s="4">
        <f t="shared" si="9"/>
        <v>38.896665133787195</v>
      </c>
      <c r="E209" s="4">
        <f t="shared" si="10"/>
        <v>105.79472002442073</v>
      </c>
      <c r="F209" s="4" t="str">
        <f t="shared" si="11"/>
        <v>m1</v>
      </c>
    </row>
    <row r="210" spans="1:6" x14ac:dyDescent="0.25">
      <c r="A210" s="2" t="s">
        <v>218</v>
      </c>
      <c r="B210" s="2">
        <v>228</v>
      </c>
      <c r="C210" s="2">
        <v>52</v>
      </c>
      <c r="D210" s="4">
        <f t="shared" si="9"/>
        <v>46.877622957438156</v>
      </c>
      <c r="E210" s="4">
        <f t="shared" si="10"/>
        <v>137.0638506791573</v>
      </c>
      <c r="F210" s="4" t="str">
        <f t="shared" si="11"/>
        <v>m1</v>
      </c>
    </row>
    <row r="211" spans="1:6" x14ac:dyDescent="0.25">
      <c r="A211" s="2" t="s">
        <v>219</v>
      </c>
      <c r="B211" s="2">
        <v>129</v>
      </c>
      <c r="C211" s="2">
        <v>54</v>
      </c>
      <c r="D211" s="4">
        <f t="shared" si="9"/>
        <v>71.130300605445441</v>
      </c>
      <c r="E211" s="4">
        <f t="shared" si="10"/>
        <v>38.193909901311578</v>
      </c>
      <c r="F211" s="4" t="str">
        <f t="shared" si="11"/>
        <v>m2</v>
      </c>
    </row>
    <row r="212" spans="1:6" x14ac:dyDescent="0.25">
      <c r="A212" s="2" t="s">
        <v>220</v>
      </c>
      <c r="B212" s="2">
        <v>172</v>
      </c>
      <c r="C212" s="2">
        <v>53</v>
      </c>
      <c r="D212" s="4">
        <f t="shared" si="9"/>
        <v>37.623392513448756</v>
      </c>
      <c r="E212" s="4">
        <f t="shared" si="10"/>
        <v>81.101588559875523</v>
      </c>
      <c r="F212" s="4" t="str">
        <f t="shared" si="11"/>
        <v>m1</v>
      </c>
    </row>
    <row r="213" spans="1:6" x14ac:dyDescent="0.25">
      <c r="A213" s="2" t="s">
        <v>221</v>
      </c>
      <c r="B213" s="2">
        <v>171</v>
      </c>
      <c r="C213" s="2">
        <v>46</v>
      </c>
      <c r="D213" s="4">
        <f t="shared" si="9"/>
        <v>44.047361677234399</v>
      </c>
      <c r="E213" s="4">
        <f t="shared" si="10"/>
        <v>80.90824946993763</v>
      </c>
      <c r="F213" s="4" t="str">
        <f t="shared" si="11"/>
        <v>m1</v>
      </c>
    </row>
    <row r="214" spans="1:6" x14ac:dyDescent="0.25">
      <c r="A214" s="2" t="s">
        <v>222</v>
      </c>
      <c r="B214" s="2">
        <v>202</v>
      </c>
      <c r="C214" s="2">
        <v>47</v>
      </c>
      <c r="D214" s="4">
        <f t="shared" si="9"/>
        <v>37.77220110631832</v>
      </c>
      <c r="E214" s="4">
        <f t="shared" si="10"/>
        <v>111.51817032486062</v>
      </c>
      <c r="F214" s="4" t="str">
        <f t="shared" si="11"/>
        <v>m1</v>
      </c>
    </row>
    <row r="215" spans="1:6" x14ac:dyDescent="0.25">
      <c r="A215" s="2" t="s">
        <v>223</v>
      </c>
      <c r="B215" s="2">
        <v>106</v>
      </c>
      <c r="C215" s="2">
        <v>49</v>
      </c>
      <c r="D215" s="4">
        <f t="shared" si="9"/>
        <v>94.245869362340258</v>
      </c>
      <c r="E215" s="4">
        <f t="shared" si="10"/>
        <v>17.803475220514105</v>
      </c>
      <c r="F215" s="4" t="str">
        <f t="shared" si="11"/>
        <v>m2</v>
      </c>
    </row>
    <row r="216" spans="1:6" x14ac:dyDescent="0.25">
      <c r="A216" s="2" t="s">
        <v>224</v>
      </c>
      <c r="B216" s="2">
        <v>221</v>
      </c>
      <c r="C216" s="2">
        <v>52</v>
      </c>
      <c r="D216" s="4">
        <f t="shared" si="9"/>
        <v>42.007056966094886</v>
      </c>
      <c r="E216" s="4">
        <f t="shared" si="10"/>
        <v>130.07279590238869</v>
      </c>
      <c r="F216" s="4" t="str">
        <f t="shared" si="11"/>
        <v>m1</v>
      </c>
    </row>
    <row r="217" spans="1:6" x14ac:dyDescent="0.25">
      <c r="A217" s="2" t="s">
        <v>225</v>
      </c>
      <c r="B217" s="2">
        <v>182</v>
      </c>
      <c r="C217" s="2">
        <v>57</v>
      </c>
      <c r="D217" s="4">
        <f t="shared" si="9"/>
        <v>29.213110808039961</v>
      </c>
      <c r="E217" s="4">
        <f t="shared" si="10"/>
        <v>90.914444236723682</v>
      </c>
      <c r="F217" s="4" t="str">
        <f t="shared" si="11"/>
        <v>m1</v>
      </c>
    </row>
    <row r="218" spans="1:6" x14ac:dyDescent="0.25">
      <c r="A218" s="2" t="s">
        <v>226</v>
      </c>
      <c r="B218" s="2">
        <v>226</v>
      </c>
      <c r="C218" s="2">
        <v>49</v>
      </c>
      <c r="D218" s="4">
        <f t="shared" si="9"/>
        <v>47.578853564345749</v>
      </c>
      <c r="E218" s="4">
        <f t="shared" si="10"/>
        <v>135.24938743223055</v>
      </c>
      <c r="F218" s="4" t="str">
        <f t="shared" si="11"/>
        <v>m1</v>
      </c>
    </row>
    <row r="219" spans="1:6" x14ac:dyDescent="0.25">
      <c r="A219" s="2" t="s">
        <v>227</v>
      </c>
      <c r="B219" s="2">
        <v>230</v>
      </c>
      <c r="C219" s="2">
        <v>51</v>
      </c>
      <c r="D219" s="4">
        <f t="shared" si="9"/>
        <v>49.029020666061299</v>
      </c>
      <c r="E219" s="4">
        <f t="shared" si="10"/>
        <v>139.11357150605957</v>
      </c>
      <c r="F219" s="4" t="str">
        <f t="shared" si="11"/>
        <v>m1</v>
      </c>
    </row>
    <row r="220" spans="1:6" x14ac:dyDescent="0.25">
      <c r="A220" s="2" t="s">
        <v>228</v>
      </c>
      <c r="B220" s="2">
        <v>242</v>
      </c>
      <c r="C220" s="2">
        <v>45</v>
      </c>
      <c r="D220" s="4">
        <f t="shared" si="9"/>
        <v>62.063232815194752</v>
      </c>
      <c r="E220" s="4">
        <f t="shared" si="10"/>
        <v>151.5226235986261</v>
      </c>
      <c r="F220" s="4" t="str">
        <f t="shared" si="11"/>
        <v>m1</v>
      </c>
    </row>
    <row r="221" spans="1:6" x14ac:dyDescent="0.25">
      <c r="A221" s="2" t="s">
        <v>229</v>
      </c>
      <c r="B221" s="2">
        <v>127</v>
      </c>
      <c r="C221" s="2">
        <v>48</v>
      </c>
      <c r="D221" s="4">
        <f t="shared" si="9"/>
        <v>75.602131357833073</v>
      </c>
      <c r="E221" s="4">
        <f t="shared" si="10"/>
        <v>37.472130714988175</v>
      </c>
      <c r="F221" s="4" t="str">
        <f t="shared" si="11"/>
        <v>m2</v>
      </c>
    </row>
    <row r="222" spans="1:6" x14ac:dyDescent="0.25">
      <c r="A222" s="2" t="s">
        <v>230</v>
      </c>
      <c r="B222" s="2">
        <v>172</v>
      </c>
      <c r="C222" s="2">
        <v>45</v>
      </c>
      <c r="D222" s="4">
        <f t="shared" si="9"/>
        <v>44.414613311422023</v>
      </c>
      <c r="E222" s="4">
        <f t="shared" si="10"/>
        <v>82.05751745496778</v>
      </c>
      <c r="F222" s="4" t="str">
        <f t="shared" si="11"/>
        <v>m1</v>
      </c>
    </row>
    <row r="223" spans="1:6" x14ac:dyDescent="0.25">
      <c r="A223" s="2" t="s">
        <v>231</v>
      </c>
      <c r="B223" s="2">
        <v>243</v>
      </c>
      <c r="C223" s="2">
        <v>60</v>
      </c>
      <c r="D223" s="4">
        <f t="shared" si="9"/>
        <v>54.863979527435738</v>
      </c>
      <c r="E223" s="4">
        <f t="shared" si="10"/>
        <v>151.90279718596227</v>
      </c>
      <c r="F223" s="4" t="str">
        <f t="shared" si="11"/>
        <v>m1</v>
      </c>
    </row>
    <row r="224" spans="1:6" x14ac:dyDescent="0.25">
      <c r="A224" s="2" t="s">
        <v>232</v>
      </c>
      <c r="B224" s="2">
        <v>111</v>
      </c>
      <c r="C224" s="2">
        <v>52</v>
      </c>
      <c r="D224" s="4">
        <f t="shared" ref="D224:D287" si="12">SQRT(((B224-$H$1)^2+(C224-$I$1)^2))</f>
        <v>88.496241190637221</v>
      </c>
      <c r="E224" s="4">
        <f t="shared" ref="E224:E287" si="13">SQRT(((B224-$K$1)^2+(C224-$L$1)^2))</f>
        <v>21.010757218716265</v>
      </c>
      <c r="F224" s="4" t="str">
        <f t="shared" ref="F224:F287" si="14">IF(MIN(D224:E224)=D224,$D$1,$E$1)</f>
        <v>m2</v>
      </c>
    </row>
    <row r="225" spans="1:6" x14ac:dyDescent="0.25">
      <c r="A225" s="2" t="s">
        <v>233</v>
      </c>
      <c r="B225" s="2">
        <v>149</v>
      </c>
      <c r="C225" s="2">
        <v>49</v>
      </c>
      <c r="D225" s="4">
        <f t="shared" si="12"/>
        <v>56.565374704323702</v>
      </c>
      <c r="E225" s="4">
        <f t="shared" si="13"/>
        <v>58.712524901601363</v>
      </c>
      <c r="F225" s="4" t="str">
        <f t="shared" si="14"/>
        <v>m1</v>
      </c>
    </row>
    <row r="226" spans="1:6" x14ac:dyDescent="0.25">
      <c r="A226" s="2" t="s">
        <v>234</v>
      </c>
      <c r="B226" s="2">
        <v>216</v>
      </c>
      <c r="C226" s="2">
        <v>60</v>
      </c>
      <c r="D226" s="4">
        <f t="shared" si="12"/>
        <v>32.714323793931676</v>
      </c>
      <c r="E226" s="4">
        <f t="shared" si="13"/>
        <v>124.90391247665023</v>
      </c>
      <c r="F226" s="4" t="str">
        <f t="shared" si="14"/>
        <v>m1</v>
      </c>
    </row>
    <row r="227" spans="1:6" x14ac:dyDescent="0.25">
      <c r="A227" s="2" t="s">
        <v>235</v>
      </c>
      <c r="B227" s="2">
        <v>202</v>
      </c>
      <c r="C227" s="2">
        <v>47</v>
      </c>
      <c r="D227" s="4">
        <f t="shared" si="12"/>
        <v>37.77220110631832</v>
      </c>
      <c r="E227" s="4">
        <f t="shared" si="13"/>
        <v>111.51817032486062</v>
      </c>
      <c r="F227" s="4" t="str">
        <f t="shared" si="14"/>
        <v>m1</v>
      </c>
    </row>
    <row r="228" spans="1:6" x14ac:dyDescent="0.25">
      <c r="A228" s="2" t="s">
        <v>236</v>
      </c>
      <c r="B228" s="2">
        <v>191</v>
      </c>
      <c r="C228" s="2">
        <v>45</v>
      </c>
      <c r="D228" s="4">
        <f t="shared" si="12"/>
        <v>38.906592195327946</v>
      </c>
      <c r="E228" s="4">
        <f t="shared" si="13"/>
        <v>100.83921066278143</v>
      </c>
      <c r="F228" s="4" t="str">
        <f t="shared" si="14"/>
        <v>m1</v>
      </c>
    </row>
    <row r="229" spans="1:6" x14ac:dyDescent="0.25">
      <c r="A229" s="2" t="s">
        <v>237</v>
      </c>
      <c r="B229" s="2">
        <v>218</v>
      </c>
      <c r="C229" s="2">
        <v>56</v>
      </c>
      <c r="D229" s="4">
        <f t="shared" si="12"/>
        <v>37.020091084380525</v>
      </c>
      <c r="E229" s="4">
        <f t="shared" si="13"/>
        <v>126.92738930240513</v>
      </c>
      <c r="F229" s="4" t="str">
        <f t="shared" si="14"/>
        <v>m1</v>
      </c>
    </row>
    <row r="230" spans="1:6" x14ac:dyDescent="0.25">
      <c r="A230" s="2" t="s">
        <v>238</v>
      </c>
      <c r="B230" s="2">
        <v>189</v>
      </c>
      <c r="C230" s="2">
        <v>56</v>
      </c>
      <c r="D230" s="4">
        <f t="shared" si="12"/>
        <v>28.195155943753484</v>
      </c>
      <c r="E230" s="4">
        <f t="shared" si="13"/>
        <v>97.936199451471083</v>
      </c>
      <c r="F230" s="4" t="str">
        <f t="shared" si="14"/>
        <v>m1</v>
      </c>
    </row>
    <row r="231" spans="1:6" x14ac:dyDescent="0.25">
      <c r="A231" s="2" t="s">
        <v>239</v>
      </c>
      <c r="B231" s="2">
        <v>137</v>
      </c>
      <c r="C231" s="2">
        <v>55</v>
      </c>
      <c r="D231" s="4">
        <f t="shared" si="12"/>
        <v>63.495209389689734</v>
      </c>
      <c r="E231" s="4">
        <f t="shared" si="13"/>
        <v>46.05041688499454</v>
      </c>
      <c r="F231" s="4" t="str">
        <f t="shared" si="14"/>
        <v>m2</v>
      </c>
    </row>
    <row r="232" spans="1:6" x14ac:dyDescent="0.25">
      <c r="A232" s="2" t="s">
        <v>240</v>
      </c>
      <c r="B232" s="2">
        <v>248</v>
      </c>
      <c r="C232" s="2">
        <v>59</v>
      </c>
      <c r="D232" s="4">
        <f t="shared" si="12"/>
        <v>59.815768558851389</v>
      </c>
      <c r="E232" s="4">
        <f t="shared" si="13"/>
        <v>156.89784011854488</v>
      </c>
      <c r="F232" s="4" t="str">
        <f t="shared" si="14"/>
        <v>m1</v>
      </c>
    </row>
    <row r="233" spans="1:6" x14ac:dyDescent="0.25">
      <c r="A233" s="2" t="s">
        <v>241</v>
      </c>
      <c r="B233" s="2">
        <v>227</v>
      </c>
      <c r="C233" s="2">
        <v>56</v>
      </c>
      <c r="D233" s="4">
        <f t="shared" si="12"/>
        <v>43.486743957134699</v>
      </c>
      <c r="E233" s="4">
        <f t="shared" si="13"/>
        <v>135.92541938665948</v>
      </c>
      <c r="F233" s="4" t="str">
        <f t="shared" si="14"/>
        <v>m1</v>
      </c>
    </row>
    <row r="234" spans="1:6" x14ac:dyDescent="0.25">
      <c r="A234" s="2" t="s">
        <v>242</v>
      </c>
      <c r="B234" s="2">
        <v>151</v>
      </c>
      <c r="C234" s="2">
        <v>58</v>
      </c>
      <c r="D234" s="4">
        <f t="shared" si="12"/>
        <v>49.795102013614098</v>
      </c>
      <c r="E234" s="4">
        <f t="shared" si="13"/>
        <v>59.902308507879134</v>
      </c>
      <c r="F234" s="4" t="str">
        <f t="shared" si="14"/>
        <v>m1</v>
      </c>
    </row>
    <row r="235" spans="1:6" x14ac:dyDescent="0.25">
      <c r="A235" s="2" t="s">
        <v>243</v>
      </c>
      <c r="B235" s="2">
        <v>205</v>
      </c>
      <c r="C235" s="2">
        <v>45</v>
      </c>
      <c r="D235" s="4">
        <f t="shared" si="12"/>
        <v>40.46678038376092</v>
      </c>
      <c r="E235" s="4">
        <f t="shared" si="13"/>
        <v>114.72436648489513</v>
      </c>
      <c r="F235" s="4" t="str">
        <f t="shared" si="14"/>
        <v>m1</v>
      </c>
    </row>
    <row r="236" spans="1:6" x14ac:dyDescent="0.25">
      <c r="A236" s="2" t="s">
        <v>244</v>
      </c>
      <c r="B236" s="2">
        <v>237</v>
      </c>
      <c r="C236" s="2">
        <v>64</v>
      </c>
      <c r="D236" s="4">
        <f t="shared" si="12"/>
        <v>47.732734817566474</v>
      </c>
      <c r="E236" s="4">
        <f t="shared" si="13"/>
        <v>145.99213638894312</v>
      </c>
      <c r="F236" s="4" t="str">
        <f t="shared" si="14"/>
        <v>m1</v>
      </c>
    </row>
    <row r="237" spans="1:6" x14ac:dyDescent="0.25">
      <c r="A237" s="2" t="s">
        <v>245</v>
      </c>
      <c r="B237" s="2">
        <v>116</v>
      </c>
      <c r="C237" s="2">
        <v>72</v>
      </c>
      <c r="D237" s="4">
        <f t="shared" si="12"/>
        <v>78.472713848143258</v>
      </c>
      <c r="E237" s="4">
        <f t="shared" si="13"/>
        <v>28.204734301426662</v>
      </c>
      <c r="F237" s="4" t="str">
        <f t="shared" si="14"/>
        <v>m2</v>
      </c>
    </row>
    <row r="238" spans="1:6" x14ac:dyDescent="0.25">
      <c r="A238" s="2" t="s">
        <v>246</v>
      </c>
      <c r="B238" s="2">
        <v>87</v>
      </c>
      <c r="C238" s="2">
        <v>62</v>
      </c>
      <c r="D238" s="4">
        <f t="shared" si="12"/>
        <v>108.78818528552154</v>
      </c>
      <c r="E238" s="4">
        <f t="shared" si="13"/>
        <v>5.2349474504859792</v>
      </c>
      <c r="F238" s="4" t="str">
        <f t="shared" si="14"/>
        <v>m2</v>
      </c>
    </row>
    <row r="239" spans="1:6" x14ac:dyDescent="0.25">
      <c r="A239" s="2" t="s">
        <v>247</v>
      </c>
      <c r="B239" s="2">
        <v>170</v>
      </c>
      <c r="C239" s="2">
        <v>70</v>
      </c>
      <c r="D239" s="4">
        <f t="shared" si="12"/>
        <v>27.329652543043263</v>
      </c>
      <c r="E239" s="4">
        <f t="shared" si="13"/>
        <v>79.695947480960967</v>
      </c>
      <c r="F239" s="4" t="str">
        <f t="shared" si="14"/>
        <v>m1</v>
      </c>
    </row>
    <row r="240" spans="1:6" x14ac:dyDescent="0.25">
      <c r="A240" s="2" t="s">
        <v>248</v>
      </c>
      <c r="B240" s="2">
        <v>189</v>
      </c>
      <c r="C240" s="2">
        <v>68</v>
      </c>
      <c r="D240" s="4">
        <f t="shared" si="12"/>
        <v>16.469957547589686</v>
      </c>
      <c r="E240" s="4">
        <f t="shared" si="13"/>
        <v>98.333851786110841</v>
      </c>
      <c r="F240" s="4" t="str">
        <f t="shared" si="14"/>
        <v>m1</v>
      </c>
    </row>
    <row r="241" spans="1:6" x14ac:dyDescent="0.25">
      <c r="A241" s="2" t="s">
        <v>249</v>
      </c>
      <c r="B241" s="2">
        <v>173</v>
      </c>
      <c r="C241" s="2">
        <v>64</v>
      </c>
      <c r="D241" s="4">
        <f t="shared" si="12"/>
        <v>28.570966942438439</v>
      </c>
      <c r="E241" s="4">
        <f t="shared" si="13"/>
        <v>82.065865313250058</v>
      </c>
      <c r="F241" s="4" t="str">
        <f t="shared" si="14"/>
        <v>m1</v>
      </c>
    </row>
    <row r="242" spans="1:6" x14ac:dyDescent="0.25">
      <c r="A242" s="2" t="s">
        <v>250</v>
      </c>
      <c r="B242" s="2">
        <v>180</v>
      </c>
      <c r="C242" s="2">
        <v>120</v>
      </c>
      <c r="D242" s="4">
        <f t="shared" si="12"/>
        <v>38.642610827143976</v>
      </c>
      <c r="E242" s="4">
        <f t="shared" si="13"/>
        <v>107.95644330556328</v>
      </c>
      <c r="F242" s="4" t="str">
        <f t="shared" si="14"/>
        <v>m1</v>
      </c>
    </row>
    <row r="243" spans="1:6" x14ac:dyDescent="0.25">
      <c r="A243" s="2" t="s">
        <v>251</v>
      </c>
      <c r="B243" s="2">
        <v>161</v>
      </c>
      <c r="C243" s="2">
        <v>108</v>
      </c>
      <c r="D243" s="4">
        <f t="shared" si="12"/>
        <v>40.569614836240049</v>
      </c>
      <c r="E243" s="4">
        <f t="shared" si="13"/>
        <v>85.506936390402515</v>
      </c>
      <c r="F243" s="4" t="str">
        <f t="shared" si="14"/>
        <v>m1</v>
      </c>
    </row>
    <row r="244" spans="1:6" x14ac:dyDescent="0.25">
      <c r="A244" s="2" t="s">
        <v>252</v>
      </c>
      <c r="B244" s="2">
        <v>126</v>
      </c>
      <c r="C244" s="2">
        <v>78</v>
      </c>
      <c r="D244" s="4">
        <f t="shared" si="12"/>
        <v>67.827490331788297</v>
      </c>
      <c r="E244" s="4">
        <f t="shared" si="13"/>
        <v>39.855782704230378</v>
      </c>
      <c r="F244" s="4" t="str">
        <f t="shared" si="14"/>
        <v>m2</v>
      </c>
    </row>
    <row r="245" spans="1:6" x14ac:dyDescent="0.25">
      <c r="A245" s="2" t="s">
        <v>253</v>
      </c>
      <c r="B245" s="2">
        <v>159</v>
      </c>
      <c r="C245" s="2">
        <v>75</v>
      </c>
      <c r="D245" s="4">
        <f t="shared" si="12"/>
        <v>35.684698583587888</v>
      </c>
      <c r="E245" s="4">
        <f t="shared" si="13"/>
        <v>69.81558349273746</v>
      </c>
      <c r="F245" s="4" t="str">
        <f t="shared" si="14"/>
        <v>m1</v>
      </c>
    </row>
    <row r="246" spans="1:6" x14ac:dyDescent="0.25">
      <c r="A246" s="2" t="s">
        <v>254</v>
      </c>
      <c r="B246" s="2">
        <v>247</v>
      </c>
      <c r="C246" s="2">
        <v>86</v>
      </c>
      <c r="D246" s="4">
        <f t="shared" si="12"/>
        <v>53.467178496869984</v>
      </c>
      <c r="E246" s="4">
        <f t="shared" si="13"/>
        <v>158.26162913822955</v>
      </c>
      <c r="F246" s="4" t="str">
        <f t="shared" si="14"/>
        <v>m1</v>
      </c>
    </row>
    <row r="247" spans="1:6" x14ac:dyDescent="0.25">
      <c r="A247" s="2" t="s">
        <v>255</v>
      </c>
      <c r="B247" s="2">
        <v>215</v>
      </c>
      <c r="C247" s="2">
        <v>74</v>
      </c>
      <c r="D247" s="4">
        <f t="shared" si="12"/>
        <v>23.566704965272937</v>
      </c>
      <c r="E247" s="4">
        <f t="shared" si="13"/>
        <v>124.83287705766614</v>
      </c>
      <c r="F247" s="4" t="str">
        <f t="shared" si="14"/>
        <v>m1</v>
      </c>
    </row>
    <row r="248" spans="1:6" x14ac:dyDescent="0.25">
      <c r="A248" s="2" t="s">
        <v>256</v>
      </c>
      <c r="B248" s="2">
        <v>227</v>
      </c>
      <c r="C248" s="2">
        <v>107</v>
      </c>
      <c r="D248" s="4">
        <f t="shared" si="12"/>
        <v>40.673588511863755</v>
      </c>
      <c r="E248" s="4">
        <f t="shared" si="13"/>
        <v>144.20964053363716</v>
      </c>
      <c r="F248" s="4" t="str">
        <f t="shared" si="14"/>
        <v>m1</v>
      </c>
    </row>
    <row r="249" spans="1:6" x14ac:dyDescent="0.25">
      <c r="A249" s="2" t="s">
        <v>257</v>
      </c>
      <c r="B249" s="2">
        <v>216</v>
      </c>
      <c r="C249" s="2">
        <v>87</v>
      </c>
      <c r="D249" s="4">
        <f t="shared" si="12"/>
        <v>22.646975910252774</v>
      </c>
      <c r="E249" s="4">
        <f t="shared" si="13"/>
        <v>128.05308919033268</v>
      </c>
      <c r="F249" s="4" t="str">
        <f t="shared" si="14"/>
        <v>m1</v>
      </c>
    </row>
    <row r="250" spans="1:6" x14ac:dyDescent="0.25">
      <c r="A250" s="2" t="s">
        <v>258</v>
      </c>
      <c r="B250" s="2">
        <v>217</v>
      </c>
      <c r="C250" s="2">
        <v>71</v>
      </c>
      <c r="D250" s="4">
        <f t="shared" si="12"/>
        <v>26.702199705250543</v>
      </c>
      <c r="E250" s="4">
        <f t="shared" si="13"/>
        <v>126.49239477000927</v>
      </c>
      <c r="F250" s="4" t="str">
        <f t="shared" si="14"/>
        <v>m1</v>
      </c>
    </row>
    <row r="251" spans="1:6" x14ac:dyDescent="0.25">
      <c r="A251" s="2" t="s">
        <v>259</v>
      </c>
      <c r="B251" s="2">
        <v>244</v>
      </c>
      <c r="C251" s="2">
        <v>102</v>
      </c>
      <c r="D251" s="4">
        <f t="shared" si="12"/>
        <v>53.59968440472457</v>
      </c>
      <c r="E251" s="4">
        <f t="shared" si="13"/>
        <v>158.89751547095014</v>
      </c>
      <c r="F251" s="4" t="str">
        <f t="shared" si="14"/>
        <v>m1</v>
      </c>
    </row>
    <row r="252" spans="1:6" x14ac:dyDescent="0.25">
      <c r="A252" s="2" t="s">
        <v>260</v>
      </c>
      <c r="B252" s="2">
        <v>141</v>
      </c>
      <c r="C252" s="2">
        <v>111</v>
      </c>
      <c r="D252" s="4">
        <f t="shared" si="12"/>
        <v>59.18662221808983</v>
      </c>
      <c r="E252" s="4">
        <f t="shared" si="13"/>
        <v>72.249861384537894</v>
      </c>
      <c r="F252" s="4" t="str">
        <f t="shared" si="14"/>
        <v>m1</v>
      </c>
    </row>
    <row r="253" spans="1:6" x14ac:dyDescent="0.25">
      <c r="A253" s="2" t="s">
        <v>261</v>
      </c>
      <c r="B253" s="2">
        <v>100</v>
      </c>
      <c r="C253" s="2">
        <v>95</v>
      </c>
      <c r="D253" s="4">
        <f t="shared" si="12"/>
        <v>94.242591250901214</v>
      </c>
      <c r="E253" s="4">
        <f t="shared" si="13"/>
        <v>37.327914202997697</v>
      </c>
      <c r="F253" s="4" t="str">
        <f t="shared" si="14"/>
        <v>m2</v>
      </c>
    </row>
    <row r="254" spans="1:6" x14ac:dyDescent="0.25">
      <c r="A254" s="2" t="s">
        <v>262</v>
      </c>
      <c r="B254" s="2">
        <v>206</v>
      </c>
      <c r="C254" s="2">
        <v>92</v>
      </c>
      <c r="D254" s="4">
        <f t="shared" si="12"/>
        <v>14.873427688764369</v>
      </c>
      <c r="E254" s="4">
        <f t="shared" si="13"/>
        <v>119.61254357433069</v>
      </c>
      <c r="F254" s="4" t="str">
        <f t="shared" si="14"/>
        <v>m1</v>
      </c>
    </row>
    <row r="255" spans="1:6" x14ac:dyDescent="0.25">
      <c r="A255" s="2" t="s">
        <v>263</v>
      </c>
      <c r="B255" s="2">
        <v>100</v>
      </c>
      <c r="C255" s="2">
        <v>87</v>
      </c>
      <c r="D255" s="4">
        <f t="shared" si="12"/>
        <v>93.631213903625948</v>
      </c>
      <c r="E255" s="4">
        <f t="shared" si="13"/>
        <v>29.619954130338641</v>
      </c>
      <c r="F255" s="4" t="str">
        <f t="shared" si="14"/>
        <v>m2</v>
      </c>
    </row>
    <row r="256" spans="1:6" x14ac:dyDescent="0.25">
      <c r="A256" s="2" t="s">
        <v>264</v>
      </c>
      <c r="B256" s="2">
        <v>234</v>
      </c>
      <c r="C256" s="2">
        <v>93</v>
      </c>
      <c r="D256" s="4">
        <f t="shared" si="12"/>
        <v>41.451795757700374</v>
      </c>
      <c r="E256" s="4">
        <f t="shared" si="13"/>
        <v>146.94533757103173</v>
      </c>
      <c r="F256" s="4" t="str">
        <f t="shared" si="14"/>
        <v>m1</v>
      </c>
    </row>
    <row r="257" spans="1:6" x14ac:dyDescent="0.25">
      <c r="A257" s="2" t="s">
        <v>265</v>
      </c>
      <c r="B257" s="2">
        <v>155</v>
      </c>
      <c r="C257" s="2">
        <v>100</v>
      </c>
      <c r="D257" s="4">
        <f t="shared" si="12"/>
        <v>41.832507558252765</v>
      </c>
      <c r="E257" s="4">
        <f t="shared" si="13"/>
        <v>76.056774985967166</v>
      </c>
      <c r="F257" s="4" t="str">
        <f t="shared" si="14"/>
        <v>m1</v>
      </c>
    </row>
    <row r="258" spans="1:6" x14ac:dyDescent="0.25">
      <c r="A258" s="2" t="s">
        <v>266</v>
      </c>
      <c r="B258" s="2">
        <v>180</v>
      </c>
      <c r="C258" s="2">
        <v>78</v>
      </c>
      <c r="D258" s="4">
        <f t="shared" si="12"/>
        <v>14.772507616995934</v>
      </c>
      <c r="E258" s="4">
        <f t="shared" si="13"/>
        <v>90.958387721290407</v>
      </c>
      <c r="F258" s="4" t="str">
        <f t="shared" si="14"/>
        <v>m1</v>
      </c>
    </row>
    <row r="259" spans="1:6" x14ac:dyDescent="0.25">
      <c r="A259" s="2" t="s">
        <v>267</v>
      </c>
      <c r="B259" s="2">
        <v>143</v>
      </c>
      <c r="C259" s="2">
        <v>89</v>
      </c>
      <c r="D259" s="4">
        <f t="shared" si="12"/>
        <v>50.841689466404112</v>
      </c>
      <c r="E259" s="4">
        <f t="shared" si="13"/>
        <v>60.071177840065808</v>
      </c>
      <c r="F259" s="4" t="str">
        <f t="shared" si="14"/>
        <v>m1</v>
      </c>
    </row>
    <row r="260" spans="1:6" x14ac:dyDescent="0.25">
      <c r="A260" s="2" t="s">
        <v>268</v>
      </c>
      <c r="B260" s="2">
        <v>231</v>
      </c>
      <c r="C260" s="2">
        <v>77</v>
      </c>
      <c r="D260" s="4">
        <f t="shared" si="12"/>
        <v>38.039337651127425</v>
      </c>
      <c r="E260" s="4">
        <f t="shared" si="13"/>
        <v>141.08324994472883</v>
      </c>
      <c r="F260" s="4" t="str">
        <f t="shared" si="14"/>
        <v>m1</v>
      </c>
    </row>
    <row r="261" spans="1:6" x14ac:dyDescent="0.25">
      <c r="A261" s="2" t="s">
        <v>269</v>
      </c>
      <c r="B261" s="2">
        <v>170</v>
      </c>
      <c r="C261" s="2">
        <v>84</v>
      </c>
      <c r="D261" s="4">
        <f t="shared" si="12"/>
        <v>23.577914203864001</v>
      </c>
      <c r="E261" s="4">
        <f t="shared" si="13"/>
        <v>82.840202576999559</v>
      </c>
      <c r="F261" s="4" t="str">
        <f t="shared" si="14"/>
        <v>m1</v>
      </c>
    </row>
    <row r="262" spans="1:6" x14ac:dyDescent="0.25">
      <c r="A262" s="2" t="s">
        <v>270</v>
      </c>
      <c r="B262" s="2">
        <v>151</v>
      </c>
      <c r="C262" s="2">
        <v>102</v>
      </c>
      <c r="D262" s="4">
        <f t="shared" si="12"/>
        <v>46.295701981335249</v>
      </c>
      <c r="E262" s="4">
        <f t="shared" si="13"/>
        <v>73.88139003104628</v>
      </c>
      <c r="F262" s="4" t="str">
        <f t="shared" si="14"/>
        <v>m1</v>
      </c>
    </row>
    <row r="263" spans="1:6" x14ac:dyDescent="0.25">
      <c r="A263" s="2" t="s">
        <v>271</v>
      </c>
      <c r="B263" s="2">
        <v>96</v>
      </c>
      <c r="C263" s="2">
        <v>112</v>
      </c>
      <c r="D263" s="4">
        <f t="shared" si="12"/>
        <v>101.56458631174704</v>
      </c>
      <c r="E263" s="4">
        <f t="shared" si="13"/>
        <v>53.476714610361121</v>
      </c>
      <c r="F263" s="4" t="str">
        <f t="shared" si="14"/>
        <v>m2</v>
      </c>
    </row>
    <row r="264" spans="1:6" x14ac:dyDescent="0.25">
      <c r="A264" s="2" t="s">
        <v>272</v>
      </c>
      <c r="B264" s="2">
        <v>222</v>
      </c>
      <c r="C264" s="2">
        <v>78</v>
      </c>
      <c r="D264" s="4">
        <f t="shared" si="12"/>
        <v>29.012741621848757</v>
      </c>
      <c r="E264" s="4">
        <f t="shared" si="13"/>
        <v>132.30581949279383</v>
      </c>
      <c r="F264" s="4" t="str">
        <f t="shared" si="14"/>
        <v>m1</v>
      </c>
    </row>
    <row r="265" spans="1:6" x14ac:dyDescent="0.25">
      <c r="A265" s="2" t="s">
        <v>273</v>
      </c>
      <c r="B265" s="2">
        <v>155</v>
      </c>
      <c r="C265" s="2">
        <v>74</v>
      </c>
      <c r="D265" s="4">
        <f t="shared" si="12"/>
        <v>39.807761499526009</v>
      </c>
      <c r="E265" s="4">
        <f t="shared" si="13"/>
        <v>65.69269867391138</v>
      </c>
      <c r="F265" s="4" t="str">
        <f t="shared" si="14"/>
        <v>m1</v>
      </c>
    </row>
    <row r="266" spans="1:6" x14ac:dyDescent="0.25">
      <c r="A266" s="2" t="s">
        <v>274</v>
      </c>
      <c r="B266" s="2">
        <v>89</v>
      </c>
      <c r="C266" s="2">
        <v>107</v>
      </c>
      <c r="D266" s="4">
        <f t="shared" si="12"/>
        <v>107.11516174474622</v>
      </c>
      <c r="E266" s="4">
        <f t="shared" si="13"/>
        <v>48.297747269875671</v>
      </c>
      <c r="F266" s="4" t="str">
        <f t="shared" si="14"/>
        <v>m2</v>
      </c>
    </row>
    <row r="267" spans="1:6" x14ac:dyDescent="0.25">
      <c r="A267" s="2" t="s">
        <v>275</v>
      </c>
      <c r="B267" s="2">
        <v>181</v>
      </c>
      <c r="C267" s="2">
        <v>105</v>
      </c>
      <c r="D267" s="4">
        <f t="shared" si="12"/>
        <v>24.63191113849782</v>
      </c>
      <c r="E267" s="4">
        <f t="shared" si="13"/>
        <v>101.09812002040266</v>
      </c>
      <c r="F267" s="4" t="str">
        <f t="shared" si="14"/>
        <v>m1</v>
      </c>
    </row>
    <row r="268" spans="1:6" x14ac:dyDescent="0.25">
      <c r="A268" s="2" t="s">
        <v>276</v>
      </c>
      <c r="B268" s="2">
        <v>200</v>
      </c>
      <c r="C268" s="2">
        <v>89</v>
      </c>
      <c r="D268" s="4">
        <f t="shared" si="12"/>
        <v>8.250606629181144</v>
      </c>
      <c r="E268" s="4">
        <f t="shared" si="13"/>
        <v>113.02157809796424</v>
      </c>
      <c r="F268" s="4" t="str">
        <f t="shared" si="14"/>
        <v>m1</v>
      </c>
    </row>
    <row r="269" spans="1:6" x14ac:dyDescent="0.25">
      <c r="A269" s="2" t="s">
        <v>277</v>
      </c>
      <c r="B269" s="2">
        <v>194</v>
      </c>
      <c r="C269" s="2">
        <v>73</v>
      </c>
      <c r="D269" s="4">
        <f t="shared" si="12"/>
        <v>10.829393417085198</v>
      </c>
      <c r="E269" s="4">
        <f t="shared" si="13"/>
        <v>103.87994257836755</v>
      </c>
      <c r="F269" s="4" t="str">
        <f t="shared" si="14"/>
        <v>m1</v>
      </c>
    </row>
    <row r="270" spans="1:6" x14ac:dyDescent="0.25">
      <c r="A270" s="2" t="s">
        <v>278</v>
      </c>
      <c r="B270" s="2">
        <v>209</v>
      </c>
      <c r="C270" s="2">
        <v>115</v>
      </c>
      <c r="D270" s="4">
        <f t="shared" si="12"/>
        <v>34.784811036646133</v>
      </c>
      <c r="E270" s="4">
        <f t="shared" si="13"/>
        <v>130.62977056656692</v>
      </c>
      <c r="F270" s="4" t="str">
        <f t="shared" si="14"/>
        <v>m1</v>
      </c>
    </row>
    <row r="271" spans="1:6" x14ac:dyDescent="0.25">
      <c r="A271" s="2" t="s">
        <v>279</v>
      </c>
      <c r="B271" s="2">
        <v>220</v>
      </c>
      <c r="C271" s="2">
        <v>116</v>
      </c>
      <c r="D271" s="4">
        <f t="shared" si="12"/>
        <v>41.637022173067862</v>
      </c>
      <c r="E271" s="4">
        <f t="shared" si="13"/>
        <v>141.04038048295905</v>
      </c>
      <c r="F271" s="4" t="str">
        <f t="shared" si="14"/>
        <v>m1</v>
      </c>
    </row>
    <row r="272" spans="1:6" x14ac:dyDescent="0.25">
      <c r="A272" s="2" t="s">
        <v>280</v>
      </c>
      <c r="B272" s="2">
        <v>155</v>
      </c>
      <c r="C272" s="2">
        <v>85</v>
      </c>
      <c r="D272" s="4">
        <f t="shared" si="12"/>
        <v>38.595243683033516</v>
      </c>
      <c r="E272" s="4">
        <f t="shared" si="13"/>
        <v>69.080199523075578</v>
      </c>
      <c r="F272" s="4" t="str">
        <f t="shared" si="14"/>
        <v>m1</v>
      </c>
    </row>
    <row r="273" spans="1:6" x14ac:dyDescent="0.25">
      <c r="A273" s="2" t="s">
        <v>281</v>
      </c>
      <c r="B273" s="2">
        <v>125</v>
      </c>
      <c r="C273" s="2">
        <v>91</v>
      </c>
      <c r="D273" s="4">
        <f t="shared" si="12"/>
        <v>68.951963878903527</v>
      </c>
      <c r="E273" s="4">
        <f t="shared" si="13"/>
        <v>46.789307758061994</v>
      </c>
      <c r="F273" s="4" t="str">
        <f t="shared" si="14"/>
        <v>m2</v>
      </c>
    </row>
    <row r="274" spans="1:6" x14ac:dyDescent="0.25">
      <c r="A274" s="2" t="s">
        <v>282</v>
      </c>
      <c r="B274" s="2">
        <v>196</v>
      </c>
      <c r="C274" s="2">
        <v>73</v>
      </c>
      <c r="D274" s="4">
        <f t="shared" si="12"/>
        <v>11.08904047664077</v>
      </c>
      <c r="E274" s="4">
        <f t="shared" si="13"/>
        <v>105.86138588392862</v>
      </c>
      <c r="F274" s="4" t="str">
        <f t="shared" si="14"/>
        <v>m1</v>
      </c>
    </row>
    <row r="275" spans="1:6" x14ac:dyDescent="0.25">
      <c r="A275" s="2" t="s">
        <v>283</v>
      </c>
      <c r="B275" s="2">
        <v>178</v>
      </c>
      <c r="C275" s="2">
        <v>89</v>
      </c>
      <c r="D275" s="4">
        <f t="shared" si="12"/>
        <v>16.415568334152404</v>
      </c>
      <c r="E275" s="4">
        <f t="shared" si="13"/>
        <v>92.012939594179386</v>
      </c>
      <c r="F275" s="4" t="str">
        <f t="shared" si="14"/>
        <v>m1</v>
      </c>
    </row>
    <row r="276" spans="1:6" x14ac:dyDescent="0.25">
      <c r="A276" s="2" t="s">
        <v>284</v>
      </c>
      <c r="B276" s="2">
        <v>249</v>
      </c>
      <c r="C276" s="2">
        <v>72</v>
      </c>
      <c r="D276" s="4">
        <f t="shared" si="12"/>
        <v>56.669410648474404</v>
      </c>
      <c r="E276" s="4">
        <f t="shared" si="13"/>
        <v>158.4527648561469</v>
      </c>
      <c r="F276" s="4" t="str">
        <f t="shared" si="14"/>
        <v>m1</v>
      </c>
    </row>
    <row r="277" spans="1:6" x14ac:dyDescent="0.25">
      <c r="A277" s="2" t="s">
        <v>285</v>
      </c>
      <c r="B277" s="2">
        <v>174</v>
      </c>
      <c r="C277" s="2">
        <v>117</v>
      </c>
      <c r="D277" s="4">
        <f t="shared" si="12"/>
        <v>38.524083766842402</v>
      </c>
      <c r="E277" s="4">
        <f t="shared" si="13"/>
        <v>101.31786706509554</v>
      </c>
      <c r="F277" s="4" t="str">
        <f t="shared" si="14"/>
        <v>m1</v>
      </c>
    </row>
    <row r="278" spans="1:6" x14ac:dyDescent="0.25">
      <c r="A278" s="2" t="s">
        <v>286</v>
      </c>
      <c r="B278" s="2">
        <v>248</v>
      </c>
      <c r="C278" s="2">
        <v>83</v>
      </c>
      <c r="D278" s="4">
        <f t="shared" si="12"/>
        <v>54.428958598706743</v>
      </c>
      <c r="E278" s="4">
        <f t="shared" si="13"/>
        <v>158.76091056067122</v>
      </c>
      <c r="F278" s="4" t="str">
        <f t="shared" si="14"/>
        <v>m1</v>
      </c>
    </row>
    <row r="279" spans="1:6" x14ac:dyDescent="0.25">
      <c r="A279" s="2" t="s">
        <v>287</v>
      </c>
      <c r="B279" s="2">
        <v>196</v>
      </c>
      <c r="C279" s="2">
        <v>94</v>
      </c>
      <c r="D279" s="4">
        <f t="shared" si="12"/>
        <v>10.463221961448028</v>
      </c>
      <c r="E279" s="4">
        <f t="shared" si="13"/>
        <v>110.66262105350386</v>
      </c>
      <c r="F279" s="4" t="str">
        <f t="shared" si="14"/>
        <v>m1</v>
      </c>
    </row>
    <row r="280" spans="1:6" x14ac:dyDescent="0.25">
      <c r="A280" s="2" t="s">
        <v>288</v>
      </c>
      <c r="B280" s="2">
        <v>186</v>
      </c>
      <c r="C280" s="2">
        <v>78</v>
      </c>
      <c r="D280" s="4">
        <f t="shared" si="12"/>
        <v>9.5551113036903121</v>
      </c>
      <c r="E280" s="4">
        <f t="shared" si="13"/>
        <v>96.830779974137869</v>
      </c>
      <c r="F280" s="4" t="str">
        <f t="shared" si="14"/>
        <v>m1</v>
      </c>
    </row>
    <row r="281" spans="1:6" x14ac:dyDescent="0.25">
      <c r="A281" s="2" t="s">
        <v>289</v>
      </c>
      <c r="B281" s="2">
        <v>207</v>
      </c>
      <c r="C281" s="2">
        <v>107</v>
      </c>
      <c r="D281" s="4">
        <f t="shared" si="12"/>
        <v>26.784888152216048</v>
      </c>
      <c r="E281" s="4">
        <f t="shared" si="13"/>
        <v>125.54088939875255</v>
      </c>
      <c r="F281" s="4" t="str">
        <f t="shared" si="14"/>
        <v>m1</v>
      </c>
    </row>
    <row r="282" spans="1:6" x14ac:dyDescent="0.25">
      <c r="A282" s="2" t="s">
        <v>290</v>
      </c>
      <c r="B282" s="2">
        <v>122</v>
      </c>
      <c r="C282" s="2">
        <v>70</v>
      </c>
      <c r="D282" s="4">
        <f t="shared" si="12"/>
        <v>72.899413867806999</v>
      </c>
      <c r="E282" s="4">
        <f t="shared" si="13"/>
        <v>32.882682623861953</v>
      </c>
      <c r="F282" s="4" t="str">
        <f t="shared" si="14"/>
        <v>m2</v>
      </c>
    </row>
    <row r="283" spans="1:6" x14ac:dyDescent="0.25">
      <c r="A283" s="2" t="s">
        <v>291</v>
      </c>
      <c r="B283" s="2">
        <v>157</v>
      </c>
      <c r="C283" s="2">
        <v>94</v>
      </c>
      <c r="D283" s="4">
        <f t="shared" si="12"/>
        <v>37.967135842178422</v>
      </c>
      <c r="E283" s="4">
        <f t="shared" si="13"/>
        <v>74.734195321819712</v>
      </c>
      <c r="F283" s="4" t="str">
        <f t="shared" si="14"/>
        <v>m1</v>
      </c>
    </row>
    <row r="284" spans="1:6" x14ac:dyDescent="0.25">
      <c r="A284" s="2" t="s">
        <v>292</v>
      </c>
      <c r="B284" s="2">
        <v>226</v>
      </c>
      <c r="C284" s="2">
        <v>82</v>
      </c>
      <c r="D284" s="4">
        <f t="shared" si="12"/>
        <v>32.473869257392728</v>
      </c>
      <c r="E284" s="4">
        <f t="shared" si="13"/>
        <v>136.88691216494527</v>
      </c>
      <c r="F284" s="4" t="str">
        <f t="shared" si="14"/>
        <v>m1</v>
      </c>
    </row>
    <row r="285" spans="1:6" x14ac:dyDescent="0.25">
      <c r="A285" s="2" t="s">
        <v>293</v>
      </c>
      <c r="B285" s="2">
        <v>150</v>
      </c>
      <c r="C285" s="2">
        <v>103</v>
      </c>
      <c r="D285" s="4">
        <f t="shared" si="12"/>
        <v>47.610967403178854</v>
      </c>
      <c r="E285" s="4">
        <f t="shared" si="13"/>
        <v>73.669318269798779</v>
      </c>
      <c r="F285" s="4" t="str">
        <f t="shared" si="14"/>
        <v>m1</v>
      </c>
    </row>
    <row r="286" spans="1:6" x14ac:dyDescent="0.25">
      <c r="A286" s="2" t="s">
        <v>294</v>
      </c>
      <c r="B286" s="2">
        <v>212</v>
      </c>
      <c r="C286" s="2">
        <v>97</v>
      </c>
      <c r="D286" s="4">
        <f t="shared" si="12"/>
        <v>22.651283403612894</v>
      </c>
      <c r="E286" s="4">
        <f t="shared" si="13"/>
        <v>126.80477876998106</v>
      </c>
      <c r="F286" s="4" t="str">
        <f t="shared" si="14"/>
        <v>m1</v>
      </c>
    </row>
    <row r="287" spans="1:6" x14ac:dyDescent="0.25">
      <c r="A287" s="2" t="s">
        <v>295</v>
      </c>
      <c r="B287" s="2">
        <v>108</v>
      </c>
      <c r="C287" s="2">
        <v>79</v>
      </c>
      <c r="D287" s="4">
        <f t="shared" si="12"/>
        <v>85.712931673645073</v>
      </c>
      <c r="E287" s="4">
        <f t="shared" si="13"/>
        <v>26.375602198713537</v>
      </c>
      <c r="F287" s="4" t="str">
        <f t="shared" si="14"/>
        <v>m2</v>
      </c>
    </row>
    <row r="288" spans="1:6" x14ac:dyDescent="0.25">
      <c r="A288" s="2" t="s">
        <v>296</v>
      </c>
      <c r="B288" s="2">
        <v>200</v>
      </c>
      <c r="C288" s="2">
        <v>73</v>
      </c>
      <c r="D288" s="4">
        <f t="shared" ref="D288:D351" si="15">SQRT(((B288-$H$1)^2+(C288-$I$1)^2))</f>
        <v>12.583677225426424</v>
      </c>
      <c r="E288" s="4">
        <f t="shared" ref="E288:E351" si="16">SQRT(((B288-$K$1)^2+(C288-$L$1)^2))</f>
        <v>109.8262906759044</v>
      </c>
      <c r="F288" s="4" t="str">
        <f t="shared" ref="F288:F351" si="17">IF(MIN(D288:E288)=D288,$D$1,$E$1)</f>
        <v>m1</v>
      </c>
    </row>
    <row r="289" spans="1:6" x14ac:dyDescent="0.25">
      <c r="A289" s="2" t="s">
        <v>297</v>
      </c>
      <c r="B289" s="2">
        <v>201</v>
      </c>
      <c r="C289" s="2">
        <v>78</v>
      </c>
      <c r="D289" s="4">
        <f t="shared" si="15"/>
        <v>9.4330842705437039</v>
      </c>
      <c r="E289" s="4">
        <f t="shared" si="16"/>
        <v>111.57118393320995</v>
      </c>
      <c r="F289" s="4" t="str">
        <f t="shared" si="17"/>
        <v>m1</v>
      </c>
    </row>
    <row r="290" spans="1:6" x14ac:dyDescent="0.25">
      <c r="A290" s="2" t="s">
        <v>298</v>
      </c>
      <c r="B290" s="2">
        <v>147</v>
      </c>
      <c r="C290" s="2">
        <v>79</v>
      </c>
      <c r="D290" s="4">
        <f t="shared" si="15"/>
        <v>46.826085314139256</v>
      </c>
      <c r="E290" s="4">
        <f t="shared" si="16"/>
        <v>59.453243304098038</v>
      </c>
      <c r="F290" s="4" t="str">
        <f t="shared" si="17"/>
        <v>m1</v>
      </c>
    </row>
    <row r="291" spans="1:6" x14ac:dyDescent="0.25">
      <c r="A291" s="2" t="s">
        <v>299</v>
      </c>
      <c r="B291" s="2">
        <v>230</v>
      </c>
      <c r="C291" s="2">
        <v>102</v>
      </c>
      <c r="D291" s="4">
        <f t="shared" si="15"/>
        <v>40.707355231113823</v>
      </c>
      <c r="E291" s="4">
        <f t="shared" si="16"/>
        <v>145.47606870057055</v>
      </c>
      <c r="F291" s="4" t="str">
        <f t="shared" si="17"/>
        <v>m1</v>
      </c>
    </row>
    <row r="292" spans="1:6" x14ac:dyDescent="0.25">
      <c r="A292" s="2" t="s">
        <v>300</v>
      </c>
      <c r="B292" s="2">
        <v>155</v>
      </c>
      <c r="C292" s="2">
        <v>74</v>
      </c>
      <c r="D292" s="4">
        <f t="shared" si="15"/>
        <v>39.807761499526009</v>
      </c>
      <c r="E292" s="4">
        <f t="shared" si="16"/>
        <v>65.69269867391138</v>
      </c>
      <c r="F292" s="4" t="str">
        <f t="shared" si="17"/>
        <v>m1</v>
      </c>
    </row>
    <row r="293" spans="1:6" x14ac:dyDescent="0.25">
      <c r="A293" s="2" t="s">
        <v>301</v>
      </c>
      <c r="B293" s="2">
        <v>132</v>
      </c>
      <c r="C293" s="2">
        <v>100</v>
      </c>
      <c r="D293" s="4">
        <f t="shared" si="15"/>
        <v>63.667193546910248</v>
      </c>
      <c r="E293" s="4">
        <f t="shared" si="16"/>
        <v>58.089084023449402</v>
      </c>
      <c r="F293" s="4" t="str">
        <f t="shared" si="17"/>
        <v>m2</v>
      </c>
    </row>
    <row r="294" spans="1:6" x14ac:dyDescent="0.25">
      <c r="A294" s="2" t="s">
        <v>302</v>
      </c>
      <c r="B294" s="2">
        <v>192</v>
      </c>
      <c r="C294" s="2">
        <v>115</v>
      </c>
      <c r="D294" s="4">
        <f t="shared" si="15"/>
        <v>31.218729876715692</v>
      </c>
      <c r="E294" s="4">
        <f t="shared" si="16"/>
        <v>115.51890439765495</v>
      </c>
      <c r="F294" s="4" t="str">
        <f t="shared" si="17"/>
        <v>m1</v>
      </c>
    </row>
    <row r="295" spans="1:6" x14ac:dyDescent="0.25">
      <c r="A295" s="2" t="s">
        <v>303</v>
      </c>
      <c r="B295" s="2">
        <v>99</v>
      </c>
      <c r="C295" s="2">
        <v>107</v>
      </c>
      <c r="D295" s="4">
        <f t="shared" si="15"/>
        <v>97.376142664186432</v>
      </c>
      <c r="E295" s="4">
        <f t="shared" si="16"/>
        <v>48.894019544830783</v>
      </c>
      <c r="F295" s="4" t="str">
        <f t="shared" si="17"/>
        <v>m2</v>
      </c>
    </row>
    <row r="296" spans="1:6" x14ac:dyDescent="0.25">
      <c r="A296" s="2" t="s">
        <v>304</v>
      </c>
      <c r="B296" s="2">
        <v>234</v>
      </c>
      <c r="C296" s="2">
        <v>104</v>
      </c>
      <c r="D296" s="4">
        <f t="shared" si="15"/>
        <v>45.179490157456407</v>
      </c>
      <c r="E296" s="4">
        <f t="shared" si="16"/>
        <v>149.89154592888514</v>
      </c>
      <c r="F296" s="4" t="str">
        <f t="shared" si="17"/>
        <v>m1</v>
      </c>
    </row>
    <row r="297" spans="1:6" x14ac:dyDescent="0.25">
      <c r="A297" s="2" t="s">
        <v>305</v>
      </c>
      <c r="B297" s="2">
        <v>116</v>
      </c>
      <c r="C297" s="2">
        <v>108</v>
      </c>
      <c r="D297" s="4">
        <f t="shared" si="15"/>
        <v>81.257891108944378</v>
      </c>
      <c r="E297" s="4">
        <f t="shared" si="16"/>
        <v>55.187396833856347</v>
      </c>
      <c r="F297" s="4" t="str">
        <f t="shared" si="17"/>
        <v>m2</v>
      </c>
    </row>
    <row r="298" spans="1:6" x14ac:dyDescent="0.25">
      <c r="A298" s="2" t="s">
        <v>306</v>
      </c>
      <c r="B298" s="2">
        <v>99</v>
      </c>
      <c r="C298" s="2">
        <v>111</v>
      </c>
      <c r="D298" s="4">
        <f t="shared" si="15"/>
        <v>98.405000149712578</v>
      </c>
      <c r="E298" s="4">
        <f t="shared" si="16"/>
        <v>52.845443467547796</v>
      </c>
      <c r="F298" s="4" t="str">
        <f t="shared" si="17"/>
        <v>m2</v>
      </c>
    </row>
    <row r="299" spans="1:6" x14ac:dyDescent="0.25">
      <c r="A299" s="2" t="s">
        <v>307</v>
      </c>
      <c r="B299" s="2">
        <v>103</v>
      </c>
      <c r="C299" s="2">
        <v>90</v>
      </c>
      <c r="D299" s="4">
        <f t="shared" si="15"/>
        <v>90.787741315466818</v>
      </c>
      <c r="E299" s="4">
        <f t="shared" si="16"/>
        <v>33.44008553336311</v>
      </c>
      <c r="F299" s="4" t="str">
        <f t="shared" si="17"/>
        <v>m2</v>
      </c>
    </row>
    <row r="300" spans="1:6" x14ac:dyDescent="0.25">
      <c r="A300" s="2" t="s">
        <v>308</v>
      </c>
      <c r="B300" s="2">
        <v>143</v>
      </c>
      <c r="C300" s="2">
        <v>119</v>
      </c>
      <c r="D300" s="4">
        <f t="shared" si="15"/>
        <v>61.608514793941751</v>
      </c>
      <c r="E300" s="4">
        <f t="shared" si="16"/>
        <v>79.521472052075566</v>
      </c>
      <c r="F300" s="4" t="str">
        <f t="shared" si="17"/>
        <v>m1</v>
      </c>
    </row>
    <row r="301" spans="1:6" x14ac:dyDescent="0.25">
      <c r="A301" s="2" t="s">
        <v>309</v>
      </c>
      <c r="B301" s="2">
        <v>190</v>
      </c>
      <c r="C301" s="2">
        <v>84</v>
      </c>
      <c r="D301" s="4">
        <f t="shared" si="15"/>
        <v>3.5817045258456552</v>
      </c>
      <c r="E301" s="4">
        <f t="shared" si="16"/>
        <v>102.07058672707505</v>
      </c>
      <c r="F301" s="4" t="str">
        <f t="shared" si="17"/>
        <v>m1</v>
      </c>
    </row>
    <row r="302" spans="1:6" x14ac:dyDescent="0.25">
      <c r="A302" s="2" t="s">
        <v>310</v>
      </c>
      <c r="B302" s="2">
        <v>112</v>
      </c>
      <c r="C302" s="2">
        <v>112</v>
      </c>
      <c r="D302" s="4">
        <f t="shared" si="15"/>
        <v>86.306973344920792</v>
      </c>
      <c r="E302" s="4">
        <f t="shared" si="16"/>
        <v>57.205623980224438</v>
      </c>
      <c r="F302" s="4" t="str">
        <f t="shared" si="17"/>
        <v>m2</v>
      </c>
    </row>
    <row r="303" spans="1:6" x14ac:dyDescent="0.25">
      <c r="A303" s="2" t="s">
        <v>311</v>
      </c>
      <c r="B303" s="2">
        <v>235</v>
      </c>
      <c r="C303" s="2">
        <v>93</v>
      </c>
      <c r="D303" s="4">
        <f t="shared" si="15"/>
        <v>42.427548833197882</v>
      </c>
      <c r="E303" s="4">
        <f t="shared" si="16"/>
        <v>147.91797561302351</v>
      </c>
      <c r="F303" s="4" t="str">
        <f t="shared" si="17"/>
        <v>m1</v>
      </c>
    </row>
    <row r="304" spans="1:6" x14ac:dyDescent="0.25">
      <c r="A304" s="2" t="s">
        <v>312</v>
      </c>
      <c r="B304" s="2">
        <v>118</v>
      </c>
      <c r="C304" s="2">
        <v>91</v>
      </c>
      <c r="D304" s="4">
        <f t="shared" si="15"/>
        <v>75.917419763652546</v>
      </c>
      <c r="E304" s="4">
        <f t="shared" si="16"/>
        <v>41.996099715863878</v>
      </c>
      <c r="F304" s="4" t="str">
        <f t="shared" si="17"/>
        <v>m2</v>
      </c>
    </row>
    <row r="305" spans="1:6" x14ac:dyDescent="0.25">
      <c r="A305" s="2" t="s">
        <v>313</v>
      </c>
      <c r="B305" s="2">
        <v>228</v>
      </c>
      <c r="C305" s="2">
        <v>82</v>
      </c>
      <c r="D305" s="4">
        <f t="shared" si="15"/>
        <v>34.470904273848198</v>
      </c>
      <c r="E305" s="4">
        <f t="shared" si="16"/>
        <v>138.85826325154204</v>
      </c>
      <c r="F305" s="4" t="str">
        <f t="shared" si="17"/>
        <v>m1</v>
      </c>
    </row>
    <row r="306" spans="1:6" x14ac:dyDescent="0.25">
      <c r="A306" s="2" t="s">
        <v>314</v>
      </c>
      <c r="B306" s="2">
        <v>239</v>
      </c>
      <c r="C306" s="2">
        <v>112</v>
      </c>
      <c r="D306" s="4">
        <f t="shared" si="15"/>
        <v>53.453491577089785</v>
      </c>
      <c r="E306" s="4">
        <f t="shared" si="16"/>
        <v>157.19250432182454</v>
      </c>
      <c r="F306" s="4" t="str">
        <f t="shared" si="17"/>
        <v>m1</v>
      </c>
    </row>
    <row r="307" spans="1:6" x14ac:dyDescent="0.25">
      <c r="A307" s="2" t="s">
        <v>315</v>
      </c>
      <c r="B307" s="2">
        <v>125</v>
      </c>
      <c r="C307" s="2">
        <v>80</v>
      </c>
      <c r="D307" s="4">
        <f t="shared" si="15"/>
        <v>68.683610588029097</v>
      </c>
      <c r="E307" s="4">
        <f t="shared" si="16"/>
        <v>40.008699221444658</v>
      </c>
      <c r="F307" s="4" t="str">
        <f t="shared" si="17"/>
        <v>m2</v>
      </c>
    </row>
    <row r="308" spans="1:6" x14ac:dyDescent="0.25">
      <c r="A308" s="2" t="s">
        <v>316</v>
      </c>
      <c r="B308" s="2">
        <v>216</v>
      </c>
      <c r="C308" s="2">
        <v>75</v>
      </c>
      <c r="D308" s="4">
        <f t="shared" si="15"/>
        <v>24.095494079863574</v>
      </c>
      <c r="E308" s="4">
        <f t="shared" si="16"/>
        <v>125.95057128529751</v>
      </c>
      <c r="F308" s="4" t="str">
        <f t="shared" si="17"/>
        <v>m1</v>
      </c>
    </row>
    <row r="309" spans="1:6" x14ac:dyDescent="0.25">
      <c r="A309" s="2" t="s">
        <v>317</v>
      </c>
      <c r="B309" s="2">
        <v>216</v>
      </c>
      <c r="C309" s="2">
        <v>77</v>
      </c>
      <c r="D309" s="4">
        <f t="shared" si="15"/>
        <v>23.437326684313039</v>
      </c>
      <c r="E309" s="4">
        <f t="shared" si="16"/>
        <v>126.2242222440232</v>
      </c>
      <c r="F309" s="4" t="str">
        <f t="shared" si="17"/>
        <v>m1</v>
      </c>
    </row>
    <row r="310" spans="1:6" x14ac:dyDescent="0.25">
      <c r="A310" s="2" t="s">
        <v>318</v>
      </c>
      <c r="B310" s="2">
        <v>215</v>
      </c>
      <c r="C310" s="2">
        <v>78</v>
      </c>
      <c r="D310" s="4">
        <f t="shared" si="15"/>
        <v>22.199560293599582</v>
      </c>
      <c r="E310" s="4">
        <f t="shared" si="16"/>
        <v>125.38446053050546</v>
      </c>
      <c r="F310" s="4" t="str">
        <f t="shared" si="17"/>
        <v>m1</v>
      </c>
    </row>
    <row r="311" spans="1:6" x14ac:dyDescent="0.25">
      <c r="A311" s="2" t="s">
        <v>319</v>
      </c>
      <c r="B311" s="2">
        <v>246</v>
      </c>
      <c r="C311" s="2">
        <v>111</v>
      </c>
      <c r="D311" s="4">
        <f t="shared" si="15"/>
        <v>59.049443159032123</v>
      </c>
      <c r="E311" s="4">
        <f t="shared" si="16"/>
        <v>163.47338134110035</v>
      </c>
      <c r="F311" s="4" t="str">
        <f t="shared" si="17"/>
        <v>m1</v>
      </c>
    </row>
    <row r="312" spans="1:6" x14ac:dyDescent="0.25">
      <c r="A312" s="2" t="s">
        <v>320</v>
      </c>
      <c r="B312" s="2">
        <v>88</v>
      </c>
      <c r="C312" s="2">
        <v>94</v>
      </c>
      <c r="D312" s="4">
        <f t="shared" si="15"/>
        <v>106.06678057075077</v>
      </c>
      <c r="E312" s="4">
        <f t="shared" si="16"/>
        <v>35.38821745513426</v>
      </c>
      <c r="F312" s="4" t="str">
        <f t="shared" si="17"/>
        <v>m2</v>
      </c>
    </row>
    <row r="313" spans="1:6" x14ac:dyDescent="0.25">
      <c r="A313" s="2" t="s">
        <v>321</v>
      </c>
      <c r="B313" s="2">
        <v>206</v>
      </c>
      <c r="C313" s="2">
        <v>104</v>
      </c>
      <c r="D313" s="4">
        <f t="shared" si="15"/>
        <v>23.696234598343501</v>
      </c>
      <c r="E313" s="4">
        <f t="shared" si="16"/>
        <v>123.48768288544265</v>
      </c>
      <c r="F313" s="4" t="str">
        <f t="shared" si="17"/>
        <v>m1</v>
      </c>
    </row>
    <row r="314" spans="1:6" x14ac:dyDescent="0.25">
      <c r="A314" s="2" t="s">
        <v>322</v>
      </c>
      <c r="B314" s="2">
        <v>190</v>
      </c>
      <c r="C314" s="2">
        <v>70</v>
      </c>
      <c r="D314" s="4">
        <f t="shared" si="15"/>
        <v>14.276570919837951</v>
      </c>
      <c r="E314" s="4">
        <f t="shared" si="16"/>
        <v>99.535669770686297</v>
      </c>
      <c r="F314" s="4" t="str">
        <f t="shared" si="17"/>
        <v>m1</v>
      </c>
    </row>
    <row r="315" spans="1:6" x14ac:dyDescent="0.25">
      <c r="A315" s="2" t="s">
        <v>323</v>
      </c>
      <c r="B315" s="2">
        <v>110</v>
      </c>
      <c r="C315" s="2">
        <v>76</v>
      </c>
      <c r="D315" s="4">
        <f t="shared" si="15"/>
        <v>83.942388233060242</v>
      </c>
      <c r="E315" s="4">
        <f t="shared" si="16"/>
        <v>25.588105273784198</v>
      </c>
      <c r="F315" s="4" t="str">
        <f t="shared" si="17"/>
        <v>m2</v>
      </c>
    </row>
    <row r="316" spans="1:6" x14ac:dyDescent="0.25">
      <c r="A316" s="2" t="s">
        <v>324</v>
      </c>
      <c r="B316" s="2">
        <v>109</v>
      </c>
      <c r="C316" s="2">
        <v>118</v>
      </c>
      <c r="D316" s="4">
        <f t="shared" si="15"/>
        <v>91.222274714339534</v>
      </c>
      <c r="E316" s="4">
        <f t="shared" si="16"/>
        <v>61.896051653093515</v>
      </c>
      <c r="F316" s="4" t="str">
        <f t="shared" si="17"/>
        <v>m2</v>
      </c>
    </row>
    <row r="317" spans="1:6" x14ac:dyDescent="0.25">
      <c r="A317" s="2" t="s">
        <v>325</v>
      </c>
      <c r="B317" s="2">
        <v>123</v>
      </c>
      <c r="C317" s="2">
        <v>91</v>
      </c>
      <c r="D317" s="4">
        <f t="shared" si="15"/>
        <v>70.941400224742154</v>
      </c>
      <c r="E317" s="4">
        <f t="shared" si="16"/>
        <v>45.361313575529735</v>
      </c>
      <c r="F317" s="4" t="str">
        <f t="shared" si="17"/>
        <v>m2</v>
      </c>
    </row>
    <row r="318" spans="1:6" x14ac:dyDescent="0.25">
      <c r="A318" s="2" t="s">
        <v>326</v>
      </c>
      <c r="B318" s="2">
        <v>197</v>
      </c>
      <c r="C318" s="2">
        <v>81</v>
      </c>
      <c r="D318" s="4">
        <f t="shared" si="15"/>
        <v>4.4355536030745952</v>
      </c>
      <c r="E318" s="4">
        <f t="shared" si="16"/>
        <v>108.21025733690676</v>
      </c>
      <c r="F318" s="4" t="str">
        <f t="shared" si="17"/>
        <v>m1</v>
      </c>
    </row>
    <row r="319" spans="1:6" x14ac:dyDescent="0.25">
      <c r="A319" s="2" t="s">
        <v>327</v>
      </c>
      <c r="B319" s="2">
        <v>177</v>
      </c>
      <c r="C319" s="2">
        <v>107</v>
      </c>
      <c r="D319" s="4">
        <f t="shared" si="15"/>
        <v>28.496743316880721</v>
      </c>
      <c r="E319" s="4">
        <f t="shared" si="16"/>
        <v>98.522366208456887</v>
      </c>
      <c r="F319" s="4" t="str">
        <f t="shared" si="17"/>
        <v>m1</v>
      </c>
    </row>
    <row r="320" spans="1:6" x14ac:dyDescent="0.25">
      <c r="A320" s="2" t="s">
        <v>328</v>
      </c>
      <c r="B320" s="2">
        <v>112</v>
      </c>
      <c r="C320" s="2">
        <v>118</v>
      </c>
      <c r="D320" s="4">
        <f t="shared" si="15"/>
        <v>88.447950736149238</v>
      </c>
      <c r="E320" s="4">
        <f t="shared" si="16"/>
        <v>62.829189370976877</v>
      </c>
      <c r="F320" s="4" t="str">
        <f t="shared" si="17"/>
        <v>m2</v>
      </c>
    </row>
    <row r="321" spans="1:6" x14ac:dyDescent="0.25">
      <c r="A321" s="2" t="s">
        <v>329</v>
      </c>
      <c r="B321" s="2">
        <v>232</v>
      </c>
      <c r="C321" s="2">
        <v>83</v>
      </c>
      <c r="D321" s="4">
        <f t="shared" si="15"/>
        <v>38.431537555179595</v>
      </c>
      <c r="E321" s="4">
        <f t="shared" si="16"/>
        <v>142.96958527114998</v>
      </c>
      <c r="F321" s="4" t="str">
        <f t="shared" si="17"/>
        <v>m1</v>
      </c>
    </row>
    <row r="322" spans="1:6" x14ac:dyDescent="0.25">
      <c r="A322" s="2" t="s">
        <v>330</v>
      </c>
      <c r="B322" s="2">
        <v>184</v>
      </c>
      <c r="C322" s="2">
        <v>112</v>
      </c>
      <c r="D322" s="4">
        <f t="shared" si="15"/>
        <v>29.761916886204713</v>
      </c>
      <c r="E322" s="4">
        <f t="shared" si="16"/>
        <v>107.07821093708333</v>
      </c>
      <c r="F322" s="4" t="str">
        <f t="shared" si="17"/>
        <v>m1</v>
      </c>
    </row>
    <row r="323" spans="1:6" x14ac:dyDescent="0.25">
      <c r="A323" s="2" t="s">
        <v>331</v>
      </c>
      <c r="B323" s="2">
        <v>205</v>
      </c>
      <c r="C323" s="2">
        <v>120</v>
      </c>
      <c r="D323" s="4">
        <f t="shared" si="15"/>
        <v>37.939288118258354</v>
      </c>
      <c r="E323" s="4">
        <f t="shared" si="16"/>
        <v>129.32314387205054</v>
      </c>
      <c r="F323" s="4" t="str">
        <f t="shared" si="17"/>
        <v>m1</v>
      </c>
    </row>
    <row r="324" spans="1:6" x14ac:dyDescent="0.25">
      <c r="A324" s="2" t="s">
        <v>332</v>
      </c>
      <c r="B324" s="2">
        <v>189</v>
      </c>
      <c r="C324" s="2">
        <v>92</v>
      </c>
      <c r="D324" s="4">
        <f t="shared" si="15"/>
        <v>9.3725592808509219</v>
      </c>
      <c r="E324" s="4">
        <f t="shared" si="16"/>
        <v>103.39071958005607</v>
      </c>
      <c r="F324" s="4" t="str">
        <f t="shared" si="17"/>
        <v>m1</v>
      </c>
    </row>
    <row r="325" spans="1:6" x14ac:dyDescent="0.25">
      <c r="A325" s="2" t="s">
        <v>333</v>
      </c>
      <c r="B325" s="2">
        <v>150</v>
      </c>
      <c r="C325" s="2">
        <v>76</v>
      </c>
      <c r="D325" s="4">
        <f t="shared" si="15"/>
        <v>44.273532505111831</v>
      </c>
      <c r="E325" s="4">
        <f t="shared" si="16"/>
        <v>61.372324015995268</v>
      </c>
      <c r="F325" s="4" t="str">
        <f t="shared" si="17"/>
        <v>m1</v>
      </c>
    </row>
    <row r="326" spans="1:6" x14ac:dyDescent="0.25">
      <c r="A326" s="2" t="s">
        <v>334</v>
      </c>
      <c r="B326" s="2">
        <v>135</v>
      </c>
      <c r="C326" s="2">
        <v>108</v>
      </c>
      <c r="D326" s="4">
        <f t="shared" si="15"/>
        <v>63.371207248430025</v>
      </c>
      <c r="E326" s="4">
        <f t="shared" si="16"/>
        <v>65.975442442760553</v>
      </c>
      <c r="F326" s="4" t="str">
        <f t="shared" si="17"/>
        <v>m1</v>
      </c>
    </row>
    <row r="327" spans="1:6" x14ac:dyDescent="0.25">
      <c r="A327" s="2" t="s">
        <v>335</v>
      </c>
      <c r="B327" s="2">
        <v>100</v>
      </c>
      <c r="C327" s="2">
        <v>86</v>
      </c>
      <c r="D327" s="4">
        <f t="shared" si="15"/>
        <v>93.60259875393055</v>
      </c>
      <c r="E327" s="4">
        <f t="shared" si="16"/>
        <v>28.667712599290013</v>
      </c>
      <c r="F327" s="4" t="str">
        <f t="shared" si="17"/>
        <v>m2</v>
      </c>
    </row>
    <row r="328" spans="1:6" x14ac:dyDescent="0.25">
      <c r="A328" s="2" t="s">
        <v>336</v>
      </c>
      <c r="B328" s="2">
        <v>178</v>
      </c>
      <c r="C328" s="2">
        <v>93</v>
      </c>
      <c r="D328" s="4">
        <f t="shared" si="15"/>
        <v>18.08042527271331</v>
      </c>
      <c r="E328" s="4">
        <f t="shared" si="16"/>
        <v>93.404479554214106</v>
      </c>
      <c r="F328" s="4" t="str">
        <f t="shared" si="17"/>
        <v>m1</v>
      </c>
    </row>
    <row r="329" spans="1:6" x14ac:dyDescent="0.25">
      <c r="A329" s="2" t="s">
        <v>337</v>
      </c>
      <c r="B329" s="2">
        <v>152</v>
      </c>
      <c r="C329" s="2">
        <v>71</v>
      </c>
      <c r="D329" s="4">
        <f t="shared" si="15"/>
        <v>43.509172820286807</v>
      </c>
      <c r="E329" s="4">
        <f t="shared" si="16"/>
        <v>62.117896143269711</v>
      </c>
      <c r="F329" s="4" t="str">
        <f t="shared" si="17"/>
        <v>m1</v>
      </c>
    </row>
    <row r="330" spans="1:6" x14ac:dyDescent="0.25">
      <c r="A330" s="2" t="s">
        <v>338</v>
      </c>
      <c r="B330" s="2">
        <v>155</v>
      </c>
      <c r="C330" s="2">
        <v>111</v>
      </c>
      <c r="D330" s="4">
        <f t="shared" si="15"/>
        <v>47.189974019497704</v>
      </c>
      <c r="E330" s="4">
        <f t="shared" si="16"/>
        <v>82.541967073438812</v>
      </c>
      <c r="F330" s="4" t="str">
        <f t="shared" si="17"/>
        <v>m1</v>
      </c>
    </row>
    <row r="331" spans="1:6" x14ac:dyDescent="0.25">
      <c r="A331" s="2" t="s">
        <v>339</v>
      </c>
      <c r="B331" s="2">
        <v>98</v>
      </c>
      <c r="C331" s="2">
        <v>86</v>
      </c>
      <c r="D331" s="4">
        <f t="shared" si="15"/>
        <v>95.602068160572514</v>
      </c>
      <c r="E331" s="4">
        <f t="shared" si="16"/>
        <v>28.111335693886708</v>
      </c>
      <c r="F331" s="4" t="str">
        <f t="shared" si="17"/>
        <v>m2</v>
      </c>
    </row>
    <row r="332" spans="1:6" x14ac:dyDescent="0.25">
      <c r="A332" s="2" t="s">
        <v>340</v>
      </c>
      <c r="B332" s="2">
        <v>183</v>
      </c>
      <c r="C332" s="2">
        <v>120</v>
      </c>
      <c r="D332" s="4">
        <f t="shared" si="15"/>
        <v>37.693341015409587</v>
      </c>
      <c r="E332" s="4">
        <f t="shared" si="16"/>
        <v>110.43993606462725</v>
      </c>
      <c r="F332" s="4" t="str">
        <f t="shared" si="17"/>
        <v>m1</v>
      </c>
    </row>
    <row r="333" spans="1:6" x14ac:dyDescent="0.25">
      <c r="A333" s="2" t="s">
        <v>341</v>
      </c>
      <c r="B333" s="2">
        <v>111</v>
      </c>
      <c r="C333" s="2">
        <v>82</v>
      </c>
      <c r="D333" s="4">
        <f t="shared" si="15"/>
        <v>82.59731480011024</v>
      </c>
      <c r="E333" s="4">
        <f t="shared" si="16"/>
        <v>30.603431656271134</v>
      </c>
      <c r="F333" s="4" t="str">
        <f t="shared" si="17"/>
        <v>m2</v>
      </c>
    </row>
    <row r="334" spans="1:6" x14ac:dyDescent="0.25">
      <c r="A334" s="2" t="s">
        <v>342</v>
      </c>
      <c r="B334" s="2">
        <v>187</v>
      </c>
      <c r="C334" s="2">
        <v>75</v>
      </c>
      <c r="D334" s="4">
        <f t="shared" si="15"/>
        <v>11.003295404081801</v>
      </c>
      <c r="E334" s="4">
        <f t="shared" si="16"/>
        <v>97.265016398327049</v>
      </c>
      <c r="F334" s="4" t="str">
        <f t="shared" si="17"/>
        <v>m1</v>
      </c>
    </row>
    <row r="335" spans="1:6" x14ac:dyDescent="0.25">
      <c r="A335" s="2" t="s">
        <v>343</v>
      </c>
      <c r="B335" s="2">
        <v>132</v>
      </c>
      <c r="C335" s="2">
        <v>80</v>
      </c>
      <c r="D335" s="4">
        <f t="shared" si="15"/>
        <v>61.695681069220839</v>
      </c>
      <c r="E335" s="4">
        <f t="shared" si="16"/>
        <v>46.089727082354095</v>
      </c>
      <c r="F335" s="4" t="str">
        <f t="shared" si="17"/>
        <v>m2</v>
      </c>
    </row>
    <row r="336" spans="1:6" x14ac:dyDescent="0.25">
      <c r="A336" s="2" t="s">
        <v>344</v>
      </c>
      <c r="B336" s="2">
        <v>221</v>
      </c>
      <c r="C336" s="2">
        <v>75</v>
      </c>
      <c r="D336" s="4">
        <f t="shared" si="15"/>
        <v>28.806604750111795</v>
      </c>
      <c r="E336" s="4">
        <f t="shared" si="16"/>
        <v>130.91036164126035</v>
      </c>
      <c r="F336" s="4" t="str">
        <f t="shared" si="17"/>
        <v>m1</v>
      </c>
    </row>
    <row r="337" spans="1:6" x14ac:dyDescent="0.25">
      <c r="A337" s="2" t="s">
        <v>345</v>
      </c>
      <c r="B337" s="2">
        <v>94</v>
      </c>
      <c r="C337" s="2">
        <v>101</v>
      </c>
      <c r="D337" s="4">
        <f t="shared" si="15"/>
        <v>101.04820224237615</v>
      </c>
      <c r="E337" s="4">
        <f t="shared" si="16"/>
        <v>42.351211874635823</v>
      </c>
      <c r="F337" s="4" t="str">
        <f t="shared" si="17"/>
        <v>m2</v>
      </c>
    </row>
    <row r="338" spans="1:6" x14ac:dyDescent="0.25">
      <c r="A338" s="2" t="s">
        <v>346</v>
      </c>
      <c r="B338" s="2">
        <v>103</v>
      </c>
      <c r="C338" s="2">
        <v>84</v>
      </c>
      <c r="D338" s="4">
        <f t="shared" si="15"/>
        <v>90.577412370307343</v>
      </c>
      <c r="E338" s="4">
        <f t="shared" si="16"/>
        <v>27.914435305615566</v>
      </c>
      <c r="F338" s="4" t="str">
        <f t="shared" si="17"/>
        <v>m2</v>
      </c>
    </row>
    <row r="339" spans="1:6" x14ac:dyDescent="0.25">
      <c r="A339" s="2" t="s">
        <v>347</v>
      </c>
      <c r="B339" s="2">
        <v>120</v>
      </c>
      <c r="C339" s="2">
        <v>101</v>
      </c>
      <c r="D339" s="4">
        <f t="shared" si="15"/>
        <v>75.556091192262926</v>
      </c>
      <c r="E339" s="4">
        <f t="shared" si="16"/>
        <v>51.188888565826709</v>
      </c>
      <c r="F339" s="4" t="str">
        <f t="shared" si="17"/>
        <v>m2</v>
      </c>
    </row>
    <row r="340" spans="1:6" x14ac:dyDescent="0.25">
      <c r="A340" s="2" t="s">
        <v>348</v>
      </c>
      <c r="B340" s="2">
        <v>218</v>
      </c>
      <c r="C340" s="2">
        <v>115</v>
      </c>
      <c r="D340" s="4">
        <f t="shared" si="15"/>
        <v>39.605464710728242</v>
      </c>
      <c r="E340" s="4">
        <f t="shared" si="16"/>
        <v>138.80668009353468</v>
      </c>
      <c r="F340" s="4" t="str">
        <f t="shared" si="17"/>
        <v>m1</v>
      </c>
    </row>
    <row r="341" spans="1:6" x14ac:dyDescent="0.25">
      <c r="A341" s="2" t="s">
        <v>349</v>
      </c>
      <c r="B341" s="2">
        <v>186</v>
      </c>
      <c r="C341" s="2">
        <v>113</v>
      </c>
      <c r="D341" s="4">
        <f t="shared" si="15"/>
        <v>30.146649519128356</v>
      </c>
      <c r="E341" s="4">
        <f t="shared" si="16"/>
        <v>109.31073938856827</v>
      </c>
      <c r="F341" s="4" t="str">
        <f t="shared" si="17"/>
        <v>m1</v>
      </c>
    </row>
    <row r="342" spans="1:6" x14ac:dyDescent="0.25">
      <c r="A342" s="2" t="s">
        <v>350</v>
      </c>
      <c r="B342" s="2">
        <v>140</v>
      </c>
      <c r="C342" s="2">
        <v>96</v>
      </c>
      <c r="D342" s="4">
        <f t="shared" si="15"/>
        <v>54.944015756705141</v>
      </c>
      <c r="E342" s="4">
        <f t="shared" si="16"/>
        <v>61.471034962625104</v>
      </c>
      <c r="F342" s="4" t="str">
        <f t="shared" si="17"/>
        <v>m1</v>
      </c>
    </row>
    <row r="343" spans="1:6" x14ac:dyDescent="0.25">
      <c r="A343" s="2" t="s">
        <v>351</v>
      </c>
      <c r="B343" s="2">
        <v>230</v>
      </c>
      <c r="C343" s="2">
        <v>70</v>
      </c>
      <c r="D343" s="4">
        <f t="shared" si="15"/>
        <v>38.956919994277598</v>
      </c>
      <c r="E343" s="4">
        <f t="shared" si="16"/>
        <v>139.35264827164627</v>
      </c>
      <c r="F343" s="4" t="str">
        <f t="shared" si="17"/>
        <v>m1</v>
      </c>
    </row>
    <row r="344" spans="1:6" x14ac:dyDescent="0.25">
      <c r="A344" s="2" t="s">
        <v>352</v>
      </c>
      <c r="B344" s="2">
        <v>212</v>
      </c>
      <c r="C344" s="2">
        <v>87</v>
      </c>
      <c r="D344" s="4">
        <f t="shared" si="15"/>
        <v>18.695010137960111</v>
      </c>
      <c r="E344" s="4">
        <f t="shared" si="16"/>
        <v>124.15479269373816</v>
      </c>
      <c r="F344" s="4" t="str">
        <f t="shared" si="17"/>
        <v>m1</v>
      </c>
    </row>
    <row r="345" spans="1:6" x14ac:dyDescent="0.25">
      <c r="A345" s="2" t="s">
        <v>353</v>
      </c>
      <c r="B345" s="2">
        <v>207</v>
      </c>
      <c r="C345" s="2">
        <v>108</v>
      </c>
      <c r="D345" s="4">
        <f t="shared" si="15"/>
        <v>27.654799889060115</v>
      </c>
      <c r="E345" s="4">
        <f t="shared" si="16"/>
        <v>125.92862600710649</v>
      </c>
      <c r="F345" s="4" t="str">
        <f t="shared" si="17"/>
        <v>m1</v>
      </c>
    </row>
    <row r="346" spans="1:6" x14ac:dyDescent="0.25">
      <c r="A346" s="2" t="s">
        <v>354</v>
      </c>
      <c r="B346" s="2">
        <v>185</v>
      </c>
      <c r="C346" s="2">
        <v>117</v>
      </c>
      <c r="D346" s="4">
        <f t="shared" si="15"/>
        <v>34.269605236752007</v>
      </c>
      <c r="E346" s="4">
        <f t="shared" si="16"/>
        <v>110.4991322052641</v>
      </c>
      <c r="F346" s="4" t="str">
        <f t="shared" si="17"/>
        <v>m1</v>
      </c>
    </row>
    <row r="347" spans="1:6" x14ac:dyDescent="0.25">
      <c r="A347" s="2" t="s">
        <v>355</v>
      </c>
      <c r="B347" s="2">
        <v>166</v>
      </c>
      <c r="C347" s="2">
        <v>93</v>
      </c>
      <c r="D347" s="4">
        <f t="shared" si="15"/>
        <v>29.064676784350368</v>
      </c>
      <c r="E347" s="4">
        <f t="shared" si="16"/>
        <v>82.358080925352951</v>
      </c>
      <c r="F347" s="4" t="str">
        <f t="shared" si="17"/>
        <v>m1</v>
      </c>
    </row>
    <row r="348" spans="1:6" x14ac:dyDescent="0.25">
      <c r="A348" s="2" t="s">
        <v>356</v>
      </c>
      <c r="B348" s="2">
        <v>109</v>
      </c>
      <c r="C348" s="2">
        <v>112</v>
      </c>
      <c r="D348" s="4">
        <f t="shared" si="15"/>
        <v>89.147950411633218</v>
      </c>
      <c r="E348" s="4">
        <f t="shared" si="16"/>
        <v>56.179156171975173</v>
      </c>
      <c r="F348" s="4" t="str">
        <f t="shared" si="17"/>
        <v>m2</v>
      </c>
    </row>
    <row r="349" spans="1:6" x14ac:dyDescent="0.25">
      <c r="A349" s="2" t="s">
        <v>357</v>
      </c>
      <c r="B349" s="2">
        <v>132</v>
      </c>
      <c r="C349" s="2">
        <v>78</v>
      </c>
      <c r="D349" s="4">
        <f t="shared" si="15"/>
        <v>61.85177132015334</v>
      </c>
      <c r="E349" s="4">
        <f t="shared" si="16"/>
        <v>45.202379013832186</v>
      </c>
      <c r="F349" s="4" t="str">
        <f t="shared" si="17"/>
        <v>m2</v>
      </c>
    </row>
    <row r="350" spans="1:6" x14ac:dyDescent="0.25">
      <c r="A350" s="2" t="s">
        <v>358</v>
      </c>
      <c r="B350" s="2">
        <v>140</v>
      </c>
      <c r="C350" s="2">
        <v>112</v>
      </c>
      <c r="D350" s="4">
        <f t="shared" si="15"/>
        <v>60.535679105043791</v>
      </c>
      <c r="E350" s="4">
        <f t="shared" si="16"/>
        <v>72.296273289169349</v>
      </c>
      <c r="F350" s="4" t="str">
        <f t="shared" si="17"/>
        <v>m1</v>
      </c>
    </row>
    <row r="351" spans="1:6" x14ac:dyDescent="0.25">
      <c r="A351" s="2" t="s">
        <v>359</v>
      </c>
      <c r="B351" s="2">
        <v>130</v>
      </c>
      <c r="C351" s="2">
        <v>87</v>
      </c>
      <c r="D351" s="4">
        <f t="shared" si="15"/>
        <v>63.656657709348011</v>
      </c>
      <c r="E351" s="4">
        <f t="shared" si="16"/>
        <v>48.074940981762012</v>
      </c>
      <c r="F351" s="4" t="str">
        <f t="shared" si="17"/>
        <v>m2</v>
      </c>
    </row>
    <row r="352" spans="1:6" x14ac:dyDescent="0.25">
      <c r="A352" s="2" t="s">
        <v>360</v>
      </c>
      <c r="B352" s="2">
        <v>165</v>
      </c>
      <c r="C352" s="2">
        <v>107</v>
      </c>
      <c r="D352" s="4">
        <f t="shared" ref="D352:D415" si="18">SQRT(((B352-$H$1)^2+(C352-$I$1)^2))</f>
        <v>36.795625259054525</v>
      </c>
      <c r="E352" s="4">
        <f t="shared" ref="E352:E415" si="19">SQRT(((B352-$K$1)^2+(C352-$L$1)^2))</f>
        <v>88.255953545506898</v>
      </c>
      <c r="F352" s="4" t="str">
        <f t="shared" ref="F352:F415" si="20">IF(MIN(D352:E352)=D352,$D$1,$E$1)</f>
        <v>m1</v>
      </c>
    </row>
    <row r="353" spans="1:6" x14ac:dyDescent="0.25">
      <c r="A353" s="2" t="s">
        <v>361</v>
      </c>
      <c r="B353" s="2">
        <v>125</v>
      </c>
      <c r="C353" s="2">
        <v>109</v>
      </c>
      <c r="D353" s="4">
        <f t="shared" si="18"/>
        <v>73.053489630187144</v>
      </c>
      <c r="E353" s="4">
        <f t="shared" si="19"/>
        <v>60.616088513037305</v>
      </c>
      <c r="F353" s="4" t="str">
        <f t="shared" si="20"/>
        <v>m2</v>
      </c>
    </row>
    <row r="354" spans="1:6" x14ac:dyDescent="0.25">
      <c r="A354" s="2" t="s">
        <v>362</v>
      </c>
      <c r="B354" s="2">
        <v>126</v>
      </c>
      <c r="C354" s="2">
        <v>79</v>
      </c>
      <c r="D354" s="4">
        <f t="shared" si="18"/>
        <v>67.748993854418757</v>
      </c>
      <c r="E354" s="4">
        <f t="shared" si="19"/>
        <v>40.34832526852513</v>
      </c>
      <c r="F354" s="4" t="str">
        <f t="shared" si="20"/>
        <v>m2</v>
      </c>
    </row>
    <row r="355" spans="1:6" x14ac:dyDescent="0.25">
      <c r="A355" s="2" t="s">
        <v>363</v>
      </c>
      <c r="B355" s="2">
        <v>105</v>
      </c>
      <c r="C355" s="2">
        <v>119</v>
      </c>
      <c r="D355" s="4">
        <f t="shared" si="18"/>
        <v>95.307287306976292</v>
      </c>
      <c r="E355" s="4">
        <f t="shared" si="19"/>
        <v>61.834003953230216</v>
      </c>
      <c r="F355" s="4" t="str">
        <f t="shared" si="20"/>
        <v>m2</v>
      </c>
    </row>
    <row r="356" spans="1:6" x14ac:dyDescent="0.25">
      <c r="A356" s="2" t="s">
        <v>364</v>
      </c>
      <c r="B356" s="2">
        <v>109</v>
      </c>
      <c r="C356" s="2">
        <v>88</v>
      </c>
      <c r="D356" s="4">
        <f t="shared" si="18"/>
        <v>84.680409167300056</v>
      </c>
      <c r="E356" s="4">
        <f t="shared" si="19"/>
        <v>34.292901597942979</v>
      </c>
      <c r="F356" s="4" t="str">
        <f t="shared" si="20"/>
        <v>m2</v>
      </c>
    </row>
    <row r="357" spans="1:6" x14ac:dyDescent="0.25">
      <c r="A357" s="2" t="s">
        <v>365</v>
      </c>
      <c r="B357" s="2">
        <v>199</v>
      </c>
      <c r="C357" s="2">
        <v>102</v>
      </c>
      <c r="D357" s="4">
        <f t="shared" si="18"/>
        <v>18.970434570622469</v>
      </c>
      <c r="E357" s="4">
        <f t="shared" si="19"/>
        <v>116.24385154177421</v>
      </c>
      <c r="F357" s="4" t="str">
        <f t="shared" si="20"/>
        <v>m1</v>
      </c>
    </row>
    <row r="358" spans="1:6" x14ac:dyDescent="0.25">
      <c r="A358" s="2" t="s">
        <v>366</v>
      </c>
      <c r="B358" s="2">
        <v>222</v>
      </c>
      <c r="C358" s="2">
        <v>106</v>
      </c>
      <c r="D358" s="4">
        <f t="shared" si="18"/>
        <v>36.052121110674697</v>
      </c>
      <c r="E358" s="4">
        <f t="shared" si="19"/>
        <v>139.16515407198818</v>
      </c>
      <c r="F358" s="4" t="str">
        <f t="shared" si="20"/>
        <v>m1</v>
      </c>
    </row>
    <row r="359" spans="1:6" x14ac:dyDescent="0.25">
      <c r="A359" s="2" t="s">
        <v>367</v>
      </c>
      <c r="B359" s="2">
        <v>134</v>
      </c>
      <c r="C359" s="2">
        <v>110</v>
      </c>
      <c r="D359" s="4">
        <f t="shared" si="18"/>
        <v>65.075185953039394</v>
      </c>
      <c r="E359" s="4">
        <f t="shared" si="19"/>
        <v>66.83540681362841</v>
      </c>
      <c r="F359" s="4" t="str">
        <f t="shared" si="20"/>
        <v>m1</v>
      </c>
    </row>
    <row r="360" spans="1:6" x14ac:dyDescent="0.25">
      <c r="A360" s="2" t="s">
        <v>368</v>
      </c>
      <c r="B360" s="2">
        <v>117</v>
      </c>
      <c r="C360" s="2">
        <v>105</v>
      </c>
      <c r="D360" s="4">
        <f t="shared" si="18"/>
        <v>79.451980624756231</v>
      </c>
      <c r="E360" s="4">
        <f t="shared" si="19"/>
        <v>53.008793929540289</v>
      </c>
      <c r="F360" s="4" t="str">
        <f t="shared" si="20"/>
        <v>m2</v>
      </c>
    </row>
    <row r="361" spans="1:6" x14ac:dyDescent="0.25">
      <c r="A361" s="2" t="s">
        <v>369</v>
      </c>
      <c r="B361" s="2">
        <v>126</v>
      </c>
      <c r="C361" s="2">
        <v>100</v>
      </c>
      <c r="D361" s="4">
        <f t="shared" si="18"/>
        <v>69.486965420919205</v>
      </c>
      <c r="E361" s="4">
        <f t="shared" si="19"/>
        <v>54.033045714081844</v>
      </c>
      <c r="F361" s="4" t="str">
        <f t="shared" si="20"/>
        <v>m2</v>
      </c>
    </row>
    <row r="362" spans="1:6" x14ac:dyDescent="0.25">
      <c r="A362" s="2" t="s">
        <v>370</v>
      </c>
      <c r="B362" s="2">
        <v>163</v>
      </c>
      <c r="C362" s="2">
        <v>75</v>
      </c>
      <c r="D362" s="4">
        <f t="shared" si="18"/>
        <v>31.824201903938736</v>
      </c>
      <c r="E362" s="4">
        <f t="shared" si="19"/>
        <v>73.711578471727222</v>
      </c>
      <c r="F362" s="4" t="str">
        <f t="shared" si="20"/>
        <v>m1</v>
      </c>
    </row>
    <row r="363" spans="1:6" x14ac:dyDescent="0.25">
      <c r="A363" s="2" t="s">
        <v>371</v>
      </c>
      <c r="B363" s="2">
        <v>178</v>
      </c>
      <c r="C363" s="2">
        <v>87</v>
      </c>
      <c r="D363" s="4">
        <f t="shared" si="18"/>
        <v>15.898284076552274</v>
      </c>
      <c r="E363" s="4">
        <f t="shared" si="19"/>
        <v>91.374904534813922</v>
      </c>
      <c r="F363" s="4" t="str">
        <f t="shared" si="20"/>
        <v>m1</v>
      </c>
    </row>
    <row r="364" spans="1:6" x14ac:dyDescent="0.25">
      <c r="A364" s="2" t="s">
        <v>372</v>
      </c>
      <c r="B364" s="2">
        <v>231</v>
      </c>
      <c r="C364" s="2">
        <v>84</v>
      </c>
      <c r="D364" s="4">
        <f t="shared" si="18"/>
        <v>37.42319165941263</v>
      </c>
      <c r="E364" s="4">
        <f t="shared" si="19"/>
        <v>142.15840099699332</v>
      </c>
      <c r="F364" s="4" t="str">
        <f t="shared" si="20"/>
        <v>m1</v>
      </c>
    </row>
    <row r="365" spans="1:6" x14ac:dyDescent="0.25">
      <c r="A365" s="2" t="s">
        <v>373</v>
      </c>
      <c r="B365" s="2">
        <v>120</v>
      </c>
      <c r="C365" s="2">
        <v>89</v>
      </c>
      <c r="D365" s="4">
        <f t="shared" si="18"/>
        <v>73.759272185446093</v>
      </c>
      <c r="E365" s="4">
        <f t="shared" si="19"/>
        <v>41.83604986743056</v>
      </c>
      <c r="F365" s="4" t="str">
        <f t="shared" si="20"/>
        <v>m2</v>
      </c>
    </row>
    <row r="366" spans="1:6" x14ac:dyDescent="0.25">
      <c r="A366" s="2" t="s">
        <v>374</v>
      </c>
      <c r="B366" s="2">
        <v>140</v>
      </c>
      <c r="C366" s="2">
        <v>105</v>
      </c>
      <c r="D366" s="4">
        <f t="shared" si="18"/>
        <v>57.611321627508126</v>
      </c>
      <c r="E366" s="4">
        <f t="shared" si="19"/>
        <v>67.306935544913529</v>
      </c>
      <c r="F366" s="4" t="str">
        <f t="shared" si="20"/>
        <v>m1</v>
      </c>
    </row>
    <row r="367" spans="1:6" x14ac:dyDescent="0.25">
      <c r="A367" s="2" t="s">
        <v>375</v>
      </c>
      <c r="B367" s="2">
        <v>131</v>
      </c>
      <c r="C367" s="2">
        <v>74</v>
      </c>
      <c r="D367" s="4">
        <f t="shared" si="18"/>
        <v>63.343233203526289</v>
      </c>
      <c r="E367" s="4">
        <f t="shared" si="19"/>
        <v>42.713511268544636</v>
      </c>
      <c r="F367" s="4" t="str">
        <f t="shared" si="20"/>
        <v>m2</v>
      </c>
    </row>
    <row r="368" spans="1:6" x14ac:dyDescent="0.25">
      <c r="A368" s="2" t="s">
        <v>376</v>
      </c>
      <c r="B368" s="2">
        <v>169</v>
      </c>
      <c r="C368" s="2">
        <v>72</v>
      </c>
      <c r="D368" s="4">
        <f t="shared" si="18"/>
        <v>27.272327125176869</v>
      </c>
      <c r="E368" s="4">
        <f t="shared" si="19"/>
        <v>79.016812409216342</v>
      </c>
      <c r="F368" s="4" t="str">
        <f t="shared" si="20"/>
        <v>m1</v>
      </c>
    </row>
    <row r="369" spans="1:6" x14ac:dyDescent="0.25">
      <c r="A369" s="2" t="s">
        <v>377</v>
      </c>
      <c r="B369" s="2">
        <v>196</v>
      </c>
      <c r="C369" s="2">
        <v>110</v>
      </c>
      <c r="D369" s="4">
        <f t="shared" si="18"/>
        <v>26.290732037170446</v>
      </c>
      <c r="E369" s="4">
        <f t="shared" si="19"/>
        <v>116.74878453567463</v>
      </c>
      <c r="F369" s="4" t="str">
        <f t="shared" si="20"/>
        <v>m1</v>
      </c>
    </row>
    <row r="370" spans="1:6" x14ac:dyDescent="0.25">
      <c r="A370" s="2" t="s">
        <v>378</v>
      </c>
      <c r="B370" s="2">
        <v>149</v>
      </c>
      <c r="C370" s="2">
        <v>111</v>
      </c>
      <c r="D370" s="4">
        <f t="shared" si="18"/>
        <v>52.209390699654413</v>
      </c>
      <c r="E370" s="4">
        <f t="shared" si="19"/>
        <v>77.989772885996715</v>
      </c>
      <c r="F370" s="4" t="str">
        <f t="shared" si="20"/>
        <v>m1</v>
      </c>
    </row>
    <row r="371" spans="1:6" x14ac:dyDescent="0.25">
      <c r="A371" s="2" t="s">
        <v>379</v>
      </c>
      <c r="B371" s="2">
        <v>90</v>
      </c>
      <c r="C371" s="2">
        <v>120</v>
      </c>
      <c r="D371" s="4">
        <f t="shared" si="18"/>
        <v>109.71396360793139</v>
      </c>
      <c r="E371" s="4">
        <f t="shared" si="19"/>
        <v>61.261887401856107</v>
      </c>
      <c r="F371" s="4" t="str">
        <f t="shared" si="20"/>
        <v>m2</v>
      </c>
    </row>
    <row r="372" spans="1:6" x14ac:dyDescent="0.25">
      <c r="A372" s="2" t="s">
        <v>380</v>
      </c>
      <c r="B372" s="2">
        <v>94</v>
      </c>
      <c r="C372" s="2">
        <v>75</v>
      </c>
      <c r="D372" s="4">
        <f t="shared" si="18"/>
        <v>99.967186433389344</v>
      </c>
      <c r="E372" s="4">
        <f t="shared" si="19"/>
        <v>16.508264143924098</v>
      </c>
      <c r="F372" s="4" t="str">
        <f t="shared" si="20"/>
        <v>m2</v>
      </c>
    </row>
    <row r="373" spans="1:6" x14ac:dyDescent="0.25">
      <c r="A373" s="2" t="s">
        <v>381</v>
      </c>
      <c r="B373" s="2">
        <v>202</v>
      </c>
      <c r="C373" s="2">
        <v>112</v>
      </c>
      <c r="D373" s="4">
        <f t="shared" si="18"/>
        <v>29.410732886762268</v>
      </c>
      <c r="E373" s="4">
        <f t="shared" si="19"/>
        <v>123.02056014388991</v>
      </c>
      <c r="F373" s="4" t="str">
        <f t="shared" si="20"/>
        <v>m1</v>
      </c>
    </row>
    <row r="374" spans="1:6" x14ac:dyDescent="0.25">
      <c r="A374" s="2" t="s">
        <v>382</v>
      </c>
      <c r="B374" s="2">
        <v>173</v>
      </c>
      <c r="C374" s="2">
        <v>120</v>
      </c>
      <c r="D374" s="4">
        <f t="shared" si="18"/>
        <v>41.621300704700623</v>
      </c>
      <c r="E374" s="4">
        <f t="shared" si="19"/>
        <v>102.26938311172823</v>
      </c>
      <c r="F374" s="4" t="str">
        <f t="shared" si="20"/>
        <v>m1</v>
      </c>
    </row>
    <row r="375" spans="1:6" x14ac:dyDescent="0.25">
      <c r="A375" s="2" t="s">
        <v>383</v>
      </c>
      <c r="B375" s="2">
        <v>136</v>
      </c>
      <c r="C375" s="2">
        <v>98</v>
      </c>
      <c r="D375" s="4">
        <f t="shared" si="18"/>
        <v>59.297370943460862</v>
      </c>
      <c r="E375" s="4">
        <f t="shared" si="19"/>
        <v>59.636523297638853</v>
      </c>
      <c r="F375" s="4" t="str">
        <f t="shared" si="20"/>
        <v>m1</v>
      </c>
    </row>
    <row r="376" spans="1:6" x14ac:dyDescent="0.25">
      <c r="A376" s="2" t="s">
        <v>384</v>
      </c>
      <c r="B376" s="2">
        <v>238</v>
      </c>
      <c r="C376" s="2">
        <v>99</v>
      </c>
      <c r="D376" s="4">
        <f t="shared" si="18"/>
        <v>46.944433395480019</v>
      </c>
      <c r="E376" s="4">
        <f t="shared" si="19"/>
        <v>152.31262901766851</v>
      </c>
      <c r="F376" s="4" t="str">
        <f t="shared" si="20"/>
        <v>m1</v>
      </c>
    </row>
    <row r="377" spans="1:6" x14ac:dyDescent="0.25">
      <c r="A377" s="2" t="s">
        <v>385</v>
      </c>
      <c r="B377" s="2">
        <v>159</v>
      </c>
      <c r="C377" s="2">
        <v>71</v>
      </c>
      <c r="D377" s="4">
        <f t="shared" si="18"/>
        <v>36.877727949164338</v>
      </c>
      <c r="E377" s="4">
        <f t="shared" si="19"/>
        <v>68.994202295554516</v>
      </c>
      <c r="F377" s="4" t="str">
        <f t="shared" si="20"/>
        <v>m1</v>
      </c>
    </row>
    <row r="378" spans="1:6" x14ac:dyDescent="0.25">
      <c r="A378" s="2" t="s">
        <v>386</v>
      </c>
      <c r="B378" s="2">
        <v>128</v>
      </c>
      <c r="C378" s="2">
        <v>93</v>
      </c>
      <c r="D378" s="4">
        <f t="shared" si="18"/>
        <v>66.216503647338101</v>
      </c>
      <c r="E378" s="4">
        <f t="shared" si="19"/>
        <v>50.34513900334413</v>
      </c>
      <c r="F378" s="4" t="str">
        <f t="shared" si="20"/>
        <v>m2</v>
      </c>
    </row>
    <row r="379" spans="1:6" x14ac:dyDescent="0.25">
      <c r="A379" s="2" t="s">
        <v>387</v>
      </c>
      <c r="B379" s="2">
        <v>105</v>
      </c>
      <c r="C379" s="2">
        <v>92</v>
      </c>
      <c r="D379" s="4">
        <f t="shared" si="18"/>
        <v>88.954035755715779</v>
      </c>
      <c r="E379" s="4">
        <f t="shared" si="19"/>
        <v>36.03939158303718</v>
      </c>
      <c r="F379" s="4" t="str">
        <f t="shared" si="20"/>
        <v>m2</v>
      </c>
    </row>
    <row r="380" spans="1:6" x14ac:dyDescent="0.25">
      <c r="A380" s="2" t="s">
        <v>388</v>
      </c>
      <c r="B380" s="2">
        <v>174</v>
      </c>
      <c r="C380" s="2">
        <v>80</v>
      </c>
      <c r="D380" s="4">
        <f t="shared" si="18"/>
        <v>19.946660314873938</v>
      </c>
      <c r="E380" s="4">
        <f t="shared" si="19"/>
        <v>85.578411514406099</v>
      </c>
      <c r="F380" s="4" t="str">
        <f t="shared" si="20"/>
        <v>m1</v>
      </c>
    </row>
    <row r="381" spans="1:6" x14ac:dyDescent="0.25">
      <c r="A381" s="2" t="s">
        <v>389</v>
      </c>
      <c r="B381" s="2">
        <v>200</v>
      </c>
      <c r="C381" s="2">
        <v>71</v>
      </c>
      <c r="D381" s="4">
        <f t="shared" si="18"/>
        <v>14.339926267566517</v>
      </c>
      <c r="E381" s="4">
        <f t="shared" si="19"/>
        <v>109.58469897578082</v>
      </c>
      <c r="F381" s="4" t="str">
        <f t="shared" si="20"/>
        <v>m1</v>
      </c>
    </row>
    <row r="382" spans="1:6" x14ac:dyDescent="0.25">
      <c r="A382" s="2" t="s">
        <v>390</v>
      </c>
      <c r="B382" s="2">
        <v>99</v>
      </c>
      <c r="C382" s="2">
        <v>97</v>
      </c>
      <c r="D382" s="4">
        <f t="shared" si="18"/>
        <v>95.491025360416103</v>
      </c>
      <c r="E382" s="4">
        <f t="shared" si="19"/>
        <v>39.058747767581515</v>
      </c>
      <c r="F382" s="4" t="str">
        <f t="shared" si="20"/>
        <v>m2</v>
      </c>
    </row>
    <row r="383" spans="1:6" x14ac:dyDescent="0.25">
      <c r="A383" s="2" t="s">
        <v>391</v>
      </c>
      <c r="B383" s="2">
        <v>140</v>
      </c>
      <c r="C383" s="2">
        <v>71</v>
      </c>
      <c r="D383" s="4">
        <f t="shared" si="18"/>
        <v>55.089942621518212</v>
      </c>
      <c r="E383" s="4">
        <f t="shared" si="19"/>
        <v>50.409222511157893</v>
      </c>
      <c r="F383" s="4" t="str">
        <f t="shared" si="20"/>
        <v>m2</v>
      </c>
    </row>
    <row r="384" spans="1:6" x14ac:dyDescent="0.25">
      <c r="A384" s="2" t="s">
        <v>392</v>
      </c>
      <c r="B384" s="2">
        <v>211</v>
      </c>
      <c r="C384" s="2">
        <v>92</v>
      </c>
      <c r="D384" s="4">
        <f t="shared" si="18"/>
        <v>19.246986608020631</v>
      </c>
      <c r="E384" s="4">
        <f t="shared" si="19"/>
        <v>124.42321711912899</v>
      </c>
      <c r="F384" s="4" t="str">
        <f t="shared" si="20"/>
        <v>m1</v>
      </c>
    </row>
    <row r="385" spans="1:6" x14ac:dyDescent="0.25">
      <c r="A385" s="2" t="s">
        <v>393</v>
      </c>
      <c r="B385" s="2">
        <v>207</v>
      </c>
      <c r="C385" s="2">
        <v>110</v>
      </c>
      <c r="D385" s="4">
        <f t="shared" si="18"/>
        <v>29.419439220665488</v>
      </c>
      <c r="E385" s="4">
        <f t="shared" si="19"/>
        <v>126.72421521577256</v>
      </c>
      <c r="F385" s="4" t="str">
        <f t="shared" si="20"/>
        <v>m1</v>
      </c>
    </row>
    <row r="386" spans="1:6" x14ac:dyDescent="0.25">
      <c r="A386" s="2" t="s">
        <v>394</v>
      </c>
      <c r="B386" s="2">
        <v>108</v>
      </c>
      <c r="C386" s="2">
        <v>115</v>
      </c>
      <c r="D386" s="4">
        <f t="shared" si="18"/>
        <v>91.08010048782026</v>
      </c>
      <c r="E386" s="4">
        <f t="shared" si="19"/>
        <v>58.735118316287121</v>
      </c>
      <c r="F386" s="4" t="str">
        <f t="shared" si="20"/>
        <v>m2</v>
      </c>
    </row>
    <row r="387" spans="1:6" x14ac:dyDescent="0.25">
      <c r="A387" s="2" t="s">
        <v>395</v>
      </c>
      <c r="B387" s="2">
        <v>159</v>
      </c>
      <c r="C387" s="2">
        <v>100</v>
      </c>
      <c r="D387" s="4">
        <f t="shared" si="18"/>
        <v>38.17513329947144</v>
      </c>
      <c r="E387" s="4">
        <f t="shared" si="19"/>
        <v>79.4469264580339</v>
      </c>
      <c r="F387" s="4" t="str">
        <f t="shared" si="20"/>
        <v>m1</v>
      </c>
    </row>
    <row r="388" spans="1:6" x14ac:dyDescent="0.25">
      <c r="A388" s="2" t="s">
        <v>396</v>
      </c>
      <c r="B388" s="2">
        <v>98</v>
      </c>
      <c r="C388" s="2">
        <v>104</v>
      </c>
      <c r="D388" s="4">
        <f t="shared" si="18"/>
        <v>97.68415665280115</v>
      </c>
      <c r="E388" s="4">
        <f t="shared" si="19"/>
        <v>45.77464429830254</v>
      </c>
      <c r="F388" s="4" t="str">
        <f t="shared" si="20"/>
        <v>m2</v>
      </c>
    </row>
    <row r="389" spans="1:6" x14ac:dyDescent="0.25">
      <c r="A389" s="2" t="s">
        <v>397</v>
      </c>
      <c r="B389" s="2">
        <v>210</v>
      </c>
      <c r="C389" s="2">
        <v>102</v>
      </c>
      <c r="D389" s="4">
        <f t="shared" si="18"/>
        <v>24.49853466651421</v>
      </c>
      <c r="E389" s="4">
        <f t="shared" si="19"/>
        <v>126.52027921547638</v>
      </c>
      <c r="F389" s="4" t="str">
        <f t="shared" si="20"/>
        <v>m1</v>
      </c>
    </row>
    <row r="390" spans="1:6" x14ac:dyDescent="0.25">
      <c r="A390" s="2" t="s">
        <v>398</v>
      </c>
      <c r="B390" s="2">
        <v>177</v>
      </c>
      <c r="C390" s="2">
        <v>97</v>
      </c>
      <c r="D390" s="4">
        <f t="shared" si="18"/>
        <v>21.177515054789328</v>
      </c>
      <c r="E390" s="4">
        <f t="shared" si="19"/>
        <v>94.02987436572775</v>
      </c>
      <c r="F390" s="4" t="str">
        <f t="shared" si="20"/>
        <v>m1</v>
      </c>
    </row>
    <row r="391" spans="1:6" x14ac:dyDescent="0.25">
      <c r="A391" s="2" t="s">
        <v>399</v>
      </c>
      <c r="B391" s="2">
        <v>162</v>
      </c>
      <c r="C391" s="2">
        <v>85</v>
      </c>
      <c r="D391" s="4">
        <f t="shared" si="18"/>
        <v>31.599233125817005</v>
      </c>
      <c r="E391" s="4">
        <f t="shared" si="19"/>
        <v>75.601857750202072</v>
      </c>
      <c r="F391" s="4" t="str">
        <f t="shared" si="20"/>
        <v>m1</v>
      </c>
    </row>
    <row r="392" spans="1:6" x14ac:dyDescent="0.25">
      <c r="A392" s="2" t="s">
        <v>400</v>
      </c>
      <c r="B392" s="2">
        <v>243</v>
      </c>
      <c r="C392" s="2">
        <v>79</v>
      </c>
      <c r="D392" s="4">
        <f t="shared" si="18"/>
        <v>49.657355925928712</v>
      </c>
      <c r="E392" s="4">
        <f t="shared" si="19"/>
        <v>153.24175213064223</v>
      </c>
      <c r="F392" s="4" t="str">
        <f t="shared" si="20"/>
        <v>m1</v>
      </c>
    </row>
    <row r="393" spans="1:6" x14ac:dyDescent="0.25">
      <c r="A393" s="2" t="s">
        <v>401</v>
      </c>
      <c r="B393" s="2">
        <v>179</v>
      </c>
      <c r="C393" s="2">
        <v>96</v>
      </c>
      <c r="D393" s="4">
        <f t="shared" si="18"/>
        <v>18.995275129072546</v>
      </c>
      <c r="E393" s="4">
        <f t="shared" si="19"/>
        <v>95.465721007112151</v>
      </c>
      <c r="F393" s="4" t="str">
        <f t="shared" si="20"/>
        <v>m1</v>
      </c>
    </row>
    <row r="394" spans="1:6" x14ac:dyDescent="0.25">
      <c r="A394" s="2" t="s">
        <v>402</v>
      </c>
      <c r="B394" s="2">
        <v>198</v>
      </c>
      <c r="C394" s="2">
        <v>107</v>
      </c>
      <c r="D394" s="4">
        <f t="shared" si="18"/>
        <v>23.59704382394461</v>
      </c>
      <c r="E394" s="4">
        <f t="shared" si="19"/>
        <v>117.28323593214361</v>
      </c>
      <c r="F394" s="4" t="str">
        <f t="shared" si="20"/>
        <v>m1</v>
      </c>
    </row>
    <row r="395" spans="1:6" x14ac:dyDescent="0.25">
      <c r="A395" s="2" t="s">
        <v>403</v>
      </c>
      <c r="B395" s="2">
        <v>137</v>
      </c>
      <c r="C395" s="2">
        <v>76</v>
      </c>
      <c r="D395" s="4">
        <f t="shared" si="18"/>
        <v>57.115267753574393</v>
      </c>
      <c r="E395" s="4">
        <f t="shared" si="19"/>
        <v>49.032882563103961</v>
      </c>
      <c r="F395" s="4" t="str">
        <f t="shared" si="20"/>
        <v>m2</v>
      </c>
    </row>
    <row r="396" spans="1:6" x14ac:dyDescent="0.25">
      <c r="A396" s="2" t="s">
        <v>404</v>
      </c>
      <c r="B396" s="2">
        <v>217</v>
      </c>
      <c r="C396" s="2">
        <v>104</v>
      </c>
      <c r="D396" s="4">
        <f t="shared" si="18"/>
        <v>30.916214955066248</v>
      </c>
      <c r="E396" s="4">
        <f t="shared" si="19"/>
        <v>133.78324205935402</v>
      </c>
      <c r="F396" s="4" t="str">
        <f t="shared" si="20"/>
        <v>m1</v>
      </c>
    </row>
    <row r="397" spans="1:6" x14ac:dyDescent="0.25">
      <c r="A397" s="2" t="s">
        <v>405</v>
      </c>
      <c r="B397" s="2">
        <v>137</v>
      </c>
      <c r="C397" s="2">
        <v>111</v>
      </c>
      <c r="D397" s="4">
        <f t="shared" si="18"/>
        <v>62.766823527766213</v>
      </c>
      <c r="E397" s="4">
        <f t="shared" si="19"/>
        <v>69.547547532049862</v>
      </c>
      <c r="F397" s="4" t="str">
        <f t="shared" si="20"/>
        <v>m1</v>
      </c>
    </row>
    <row r="398" spans="1:6" x14ac:dyDescent="0.25">
      <c r="A398" s="2" t="s">
        <v>406</v>
      </c>
      <c r="B398" s="2">
        <v>91</v>
      </c>
      <c r="C398" s="2">
        <v>119</v>
      </c>
      <c r="D398" s="4">
        <f t="shared" si="18"/>
        <v>108.44188127951553</v>
      </c>
      <c r="E398" s="4">
        <f t="shared" si="19"/>
        <v>60.252055455564111</v>
      </c>
      <c r="F398" s="4" t="str">
        <f t="shared" si="20"/>
        <v>m2</v>
      </c>
    </row>
    <row r="399" spans="1:6" x14ac:dyDescent="0.25">
      <c r="A399" s="2" t="s">
        <v>407</v>
      </c>
      <c r="B399" s="2">
        <v>197</v>
      </c>
      <c r="C399" s="2">
        <v>100</v>
      </c>
      <c r="D399" s="4">
        <f t="shared" si="18"/>
        <v>16.536955092556411</v>
      </c>
      <c r="E399" s="4">
        <f t="shared" si="19"/>
        <v>113.64873336764116</v>
      </c>
      <c r="F399" s="4" t="str">
        <f t="shared" si="20"/>
        <v>m1</v>
      </c>
    </row>
    <row r="400" spans="1:6" x14ac:dyDescent="0.25">
      <c r="A400" s="2" t="s">
        <v>408</v>
      </c>
      <c r="B400" s="2">
        <v>247</v>
      </c>
      <c r="C400" s="2">
        <v>91</v>
      </c>
      <c r="D400" s="4">
        <f t="shared" si="18"/>
        <v>53.902947918479697</v>
      </c>
      <c r="E400" s="4">
        <f t="shared" si="19"/>
        <v>159.19881576986018</v>
      </c>
      <c r="F400" s="4" t="str">
        <f t="shared" si="20"/>
        <v>m1</v>
      </c>
    </row>
    <row r="401" spans="1:6" x14ac:dyDescent="0.25">
      <c r="A401" s="2" t="s">
        <v>409</v>
      </c>
      <c r="B401" s="2">
        <v>165</v>
      </c>
      <c r="C401" s="2">
        <v>93</v>
      </c>
      <c r="D401" s="4">
        <f t="shared" si="18"/>
        <v>30.015161304305373</v>
      </c>
      <c r="E401" s="4">
        <f t="shared" si="19"/>
        <v>81.449728164779259</v>
      </c>
      <c r="F401" s="4" t="str">
        <f t="shared" si="20"/>
        <v>m1</v>
      </c>
    </row>
    <row r="402" spans="1:6" x14ac:dyDescent="0.25">
      <c r="A402" s="2" t="s">
        <v>410</v>
      </c>
      <c r="B402" s="2">
        <v>190</v>
      </c>
      <c r="C402" s="2">
        <v>79</v>
      </c>
      <c r="D402" s="4">
        <f t="shared" si="18"/>
        <v>6.0033315271009684</v>
      </c>
      <c r="E402" s="4">
        <f t="shared" si="19"/>
        <v>100.94991327272143</v>
      </c>
      <c r="F402" s="4" t="str">
        <f t="shared" si="20"/>
        <v>m1</v>
      </c>
    </row>
    <row r="403" spans="1:6" x14ac:dyDescent="0.25">
      <c r="A403" s="2" t="s">
        <v>411</v>
      </c>
      <c r="B403" s="2">
        <v>180</v>
      </c>
      <c r="C403" s="2">
        <v>114</v>
      </c>
      <c r="D403" s="4">
        <f t="shared" si="18"/>
        <v>33.092371176370698</v>
      </c>
      <c r="E403" s="4">
        <f t="shared" si="19"/>
        <v>104.66885892728581</v>
      </c>
      <c r="F403" s="4" t="str">
        <f t="shared" si="20"/>
        <v>m1</v>
      </c>
    </row>
    <row r="404" spans="1:6" x14ac:dyDescent="0.25">
      <c r="A404" s="2" t="s">
        <v>412</v>
      </c>
      <c r="B404" s="2">
        <v>107</v>
      </c>
      <c r="C404" s="2">
        <v>86</v>
      </c>
      <c r="D404" s="4">
        <f t="shared" si="18"/>
        <v>86.60464879367801</v>
      </c>
      <c r="E404" s="4">
        <f t="shared" si="19"/>
        <v>31.550034466056442</v>
      </c>
      <c r="F404" s="4" t="str">
        <f t="shared" si="20"/>
        <v>m2</v>
      </c>
    </row>
    <row r="405" spans="1:6" x14ac:dyDescent="0.25">
      <c r="A405" s="2" t="s">
        <v>413</v>
      </c>
      <c r="B405" s="2">
        <v>180</v>
      </c>
      <c r="C405" s="2">
        <v>102</v>
      </c>
      <c r="D405" s="4">
        <f t="shared" si="18"/>
        <v>22.689476572804871</v>
      </c>
      <c r="E405" s="4">
        <f t="shared" si="19"/>
        <v>98.861128787029173</v>
      </c>
      <c r="F405" s="4" t="str">
        <f t="shared" si="20"/>
        <v>m1</v>
      </c>
    </row>
    <row r="406" spans="1:6" x14ac:dyDescent="0.25">
      <c r="A406" s="2" t="s">
        <v>414</v>
      </c>
      <c r="B406" s="2">
        <v>113</v>
      </c>
      <c r="C406" s="2">
        <v>96</v>
      </c>
      <c r="D406" s="4">
        <f t="shared" si="18"/>
        <v>81.492426636960445</v>
      </c>
      <c r="E406" s="4">
        <f t="shared" si="19"/>
        <v>43.211291330292326</v>
      </c>
      <c r="F406" s="4" t="str">
        <f t="shared" si="20"/>
        <v>m2</v>
      </c>
    </row>
    <row r="407" spans="1:6" x14ac:dyDescent="0.25">
      <c r="A407" s="2" t="s">
        <v>415</v>
      </c>
      <c r="B407" s="2">
        <v>134</v>
      </c>
      <c r="C407" s="2">
        <v>74</v>
      </c>
      <c r="D407" s="4">
        <f t="shared" si="18"/>
        <v>60.38130321583138</v>
      </c>
      <c r="E407" s="4">
        <f t="shared" si="19"/>
        <v>45.528341411254409</v>
      </c>
      <c r="F407" s="4" t="str">
        <f t="shared" si="20"/>
        <v>m2</v>
      </c>
    </row>
    <row r="408" spans="1:6" x14ac:dyDescent="0.25">
      <c r="A408" s="2" t="s">
        <v>416</v>
      </c>
      <c r="B408" s="2">
        <v>97</v>
      </c>
      <c r="C408" s="2">
        <v>113</v>
      </c>
      <c r="D408" s="4">
        <f t="shared" si="18"/>
        <v>100.88889158231859</v>
      </c>
      <c r="E408" s="4">
        <f t="shared" si="19"/>
        <v>54.571588011679083</v>
      </c>
      <c r="F408" s="4" t="str">
        <f t="shared" si="20"/>
        <v>m2</v>
      </c>
    </row>
    <row r="409" spans="1:6" x14ac:dyDescent="0.25">
      <c r="A409" s="2" t="s">
        <v>417</v>
      </c>
      <c r="B409" s="2">
        <v>152</v>
      </c>
      <c r="C409" s="2">
        <v>107</v>
      </c>
      <c r="D409" s="4">
        <f t="shared" si="18"/>
        <v>47.601745433188391</v>
      </c>
      <c r="E409" s="4">
        <f t="shared" si="19"/>
        <v>77.696684315030495</v>
      </c>
      <c r="F409" s="4" t="str">
        <f t="shared" si="20"/>
        <v>m1</v>
      </c>
    </row>
    <row r="410" spans="1:6" x14ac:dyDescent="0.25">
      <c r="A410" s="2" t="s">
        <v>418</v>
      </c>
      <c r="B410" s="2">
        <v>115</v>
      </c>
      <c r="C410" s="2">
        <v>115</v>
      </c>
      <c r="D410" s="4">
        <f t="shared" si="18"/>
        <v>84.53699429278538</v>
      </c>
      <c r="E410" s="4">
        <f t="shared" si="19"/>
        <v>61.117763806949817</v>
      </c>
      <c r="F410" s="4" t="str">
        <f t="shared" si="20"/>
        <v>m2</v>
      </c>
    </row>
    <row r="411" spans="1:6" x14ac:dyDescent="0.25">
      <c r="A411" s="2" t="s">
        <v>419</v>
      </c>
      <c r="B411" s="2">
        <v>172</v>
      </c>
      <c r="C411" s="2">
        <v>108</v>
      </c>
      <c r="D411" s="4">
        <f t="shared" si="18"/>
        <v>32.406703951019132</v>
      </c>
      <c r="E411" s="4">
        <f t="shared" si="19"/>
        <v>94.711056389253756</v>
      </c>
      <c r="F411" s="4" t="str">
        <f t="shared" si="20"/>
        <v>m1</v>
      </c>
    </row>
    <row r="412" spans="1:6" x14ac:dyDescent="0.25">
      <c r="A412" s="2" t="s">
        <v>420</v>
      </c>
      <c r="B412" s="2">
        <v>194</v>
      </c>
      <c r="C412" s="2">
        <v>101</v>
      </c>
      <c r="D412" s="4">
        <f t="shared" si="18"/>
        <v>17.18406302201576</v>
      </c>
      <c r="E412" s="4">
        <f t="shared" si="19"/>
        <v>111.23467402885403</v>
      </c>
      <c r="F412" s="4" t="str">
        <f t="shared" si="20"/>
        <v>m1</v>
      </c>
    </row>
    <row r="413" spans="1:6" x14ac:dyDescent="0.25">
      <c r="A413" s="2" t="s">
        <v>421</v>
      </c>
      <c r="B413" s="2">
        <v>228</v>
      </c>
      <c r="C413" s="2">
        <v>98</v>
      </c>
      <c r="D413" s="4">
        <f t="shared" si="18"/>
        <v>37.228575297647076</v>
      </c>
      <c r="E413" s="4">
        <f t="shared" si="19"/>
        <v>142.41376431146159</v>
      </c>
      <c r="F413" s="4" t="str">
        <f t="shared" si="20"/>
        <v>m1</v>
      </c>
    </row>
    <row r="414" spans="1:6" x14ac:dyDescent="0.25">
      <c r="A414" s="2" t="s">
        <v>422</v>
      </c>
      <c r="B414" s="2">
        <v>131</v>
      </c>
      <c r="C414" s="2">
        <v>108</v>
      </c>
      <c r="D414" s="4">
        <f t="shared" si="18"/>
        <v>67.085973156110143</v>
      </c>
      <c r="E414" s="4">
        <f t="shared" si="19"/>
        <v>63.38436639389721</v>
      </c>
      <c r="F414" s="4" t="str">
        <f t="shared" si="20"/>
        <v>m2</v>
      </c>
    </row>
    <row r="415" spans="1:6" x14ac:dyDescent="0.25">
      <c r="A415" s="2" t="s">
        <v>423</v>
      </c>
      <c r="B415" s="2">
        <v>170</v>
      </c>
      <c r="C415" s="2">
        <v>111</v>
      </c>
      <c r="D415" s="4">
        <f t="shared" si="18"/>
        <v>35.980224774035769</v>
      </c>
      <c r="E415" s="4">
        <f t="shared" si="19"/>
        <v>94.631419001359816</v>
      </c>
      <c r="F415" s="4" t="str">
        <f t="shared" si="20"/>
        <v>m1</v>
      </c>
    </row>
    <row r="416" spans="1:6" x14ac:dyDescent="0.25">
      <c r="A416" s="2" t="s">
        <v>424</v>
      </c>
      <c r="B416" s="2">
        <v>210</v>
      </c>
      <c r="C416" s="2">
        <v>101</v>
      </c>
      <c r="D416" s="4">
        <f t="shared" ref="D416:D479" si="21">SQRT(((B416-$H$1)^2+(C416-$I$1)^2))</f>
        <v>23.765952058126405</v>
      </c>
      <c r="E416" s="4">
        <f t="shared" ref="E416:E479" si="22">SQRT(((B416-$K$1)^2+(C416-$L$1)^2))</f>
        <v>126.18192071669472</v>
      </c>
      <c r="F416" s="4" t="str">
        <f t="shared" ref="F416:F479" si="23">IF(MIN(D416:E416)=D416,$D$1,$E$1)</f>
        <v>m1</v>
      </c>
    </row>
    <row r="417" spans="1:6" x14ac:dyDescent="0.25">
      <c r="A417" s="2" t="s">
        <v>425</v>
      </c>
      <c r="B417" s="2">
        <v>95</v>
      </c>
      <c r="C417" s="2">
        <v>116</v>
      </c>
      <c r="D417" s="4">
        <f t="shared" si="21"/>
        <v>103.69643464714673</v>
      </c>
      <c r="E417" s="4">
        <f t="shared" si="22"/>
        <v>57.384488130146771</v>
      </c>
      <c r="F417" s="4" t="str">
        <f t="shared" si="23"/>
        <v>m2</v>
      </c>
    </row>
    <row r="418" spans="1:6" x14ac:dyDescent="0.25">
      <c r="A418" s="2" t="s">
        <v>426</v>
      </c>
      <c r="B418" s="2">
        <v>145</v>
      </c>
      <c r="C418" s="2">
        <v>98</v>
      </c>
      <c r="D418" s="4">
        <f t="shared" si="21"/>
        <v>50.604228646467462</v>
      </c>
      <c r="E418" s="4">
        <f t="shared" si="22"/>
        <v>66.675875632381334</v>
      </c>
      <c r="F418" s="4" t="str">
        <f t="shared" si="23"/>
        <v>m1</v>
      </c>
    </row>
    <row r="419" spans="1:6" x14ac:dyDescent="0.25">
      <c r="A419" s="2" t="s">
        <v>427</v>
      </c>
      <c r="B419" s="2">
        <v>174</v>
      </c>
      <c r="C419" s="2">
        <v>82</v>
      </c>
      <c r="D419" s="4">
        <f t="shared" si="21"/>
        <v>19.661757420725095</v>
      </c>
      <c r="E419" s="4">
        <f t="shared" si="22"/>
        <v>86.096877941913675</v>
      </c>
      <c r="F419" s="4" t="str">
        <f t="shared" si="23"/>
        <v>m1</v>
      </c>
    </row>
    <row r="420" spans="1:6" x14ac:dyDescent="0.25">
      <c r="A420" s="2" t="s">
        <v>428</v>
      </c>
      <c r="B420" s="2">
        <v>190</v>
      </c>
      <c r="C420" s="2">
        <v>98</v>
      </c>
      <c r="D420" s="4">
        <f t="shared" si="21"/>
        <v>14.623157572554701</v>
      </c>
      <c r="E420" s="4">
        <f t="shared" si="22"/>
        <v>106.40234862501666</v>
      </c>
      <c r="F420" s="4" t="str">
        <f t="shared" si="23"/>
        <v>m1</v>
      </c>
    </row>
    <row r="421" spans="1:6" x14ac:dyDescent="0.25">
      <c r="A421" s="2" t="s">
        <v>429</v>
      </c>
      <c r="B421" s="2">
        <v>106</v>
      </c>
      <c r="C421" s="2">
        <v>82</v>
      </c>
      <c r="D421" s="4">
        <f t="shared" si="21"/>
        <v>87.596168694253322</v>
      </c>
      <c r="E421" s="4">
        <f t="shared" si="22"/>
        <v>27.615098246924674</v>
      </c>
      <c r="F421" s="4" t="str">
        <f t="shared" si="23"/>
        <v>m2</v>
      </c>
    </row>
    <row r="422" spans="1:6" x14ac:dyDescent="0.25">
      <c r="A422" s="2" t="s">
        <v>430</v>
      </c>
      <c r="B422" s="2">
        <v>93</v>
      </c>
      <c r="C422" s="2">
        <v>116</v>
      </c>
      <c r="D422" s="4">
        <f t="shared" si="21"/>
        <v>105.59952415432279</v>
      </c>
      <c r="E422" s="4">
        <f t="shared" si="22"/>
        <v>57.283408826446887</v>
      </c>
      <c r="F422" s="4" t="str">
        <f t="shared" si="23"/>
        <v>m2</v>
      </c>
    </row>
    <row r="423" spans="1:6" x14ac:dyDescent="0.25">
      <c r="A423" s="2" t="s">
        <v>431</v>
      </c>
      <c r="B423" s="2">
        <v>105</v>
      </c>
      <c r="C423" s="2">
        <v>85</v>
      </c>
      <c r="D423" s="4">
        <f t="shared" si="21"/>
        <v>88.585080076661384</v>
      </c>
      <c r="E423" s="4">
        <f t="shared" si="22"/>
        <v>29.703706614164723</v>
      </c>
      <c r="F423" s="4" t="str">
        <f t="shared" si="23"/>
        <v>m2</v>
      </c>
    </row>
    <row r="424" spans="1:6" x14ac:dyDescent="0.25">
      <c r="A424" s="2" t="s">
        <v>432</v>
      </c>
      <c r="B424" s="2">
        <v>153</v>
      </c>
      <c r="C424" s="2">
        <v>96</v>
      </c>
      <c r="D424" s="4">
        <f t="shared" si="21"/>
        <v>42.365513538629067</v>
      </c>
      <c r="E424" s="4">
        <f t="shared" si="22"/>
        <v>72.242831630919923</v>
      </c>
      <c r="F424" s="4" t="str">
        <f t="shared" si="23"/>
        <v>m1</v>
      </c>
    </row>
    <row r="425" spans="1:6" x14ac:dyDescent="0.25">
      <c r="A425" s="2" t="s">
        <v>433</v>
      </c>
      <c r="B425" s="2">
        <v>226</v>
      </c>
      <c r="C425" s="2">
        <v>88</v>
      </c>
      <c r="D425" s="4">
        <f t="shared" si="21"/>
        <v>32.690954804190888</v>
      </c>
      <c r="E425" s="4">
        <f t="shared" si="22"/>
        <v>138.03278720688317</v>
      </c>
      <c r="F425" s="4" t="str">
        <f t="shared" si="23"/>
        <v>m1</v>
      </c>
    </row>
    <row r="426" spans="1:6" x14ac:dyDescent="0.25">
      <c r="A426" s="2" t="s">
        <v>434</v>
      </c>
      <c r="B426" s="2">
        <v>148</v>
      </c>
      <c r="C426" s="2">
        <v>120</v>
      </c>
      <c r="D426" s="4">
        <f t="shared" si="21"/>
        <v>58.191017012671281</v>
      </c>
      <c r="E426" s="4">
        <f t="shared" si="22"/>
        <v>83.601105448969179</v>
      </c>
      <c r="F426" s="4" t="str">
        <f t="shared" si="23"/>
        <v>m1</v>
      </c>
    </row>
    <row r="427" spans="1:6" x14ac:dyDescent="0.25">
      <c r="A427" s="2" t="s">
        <v>435</v>
      </c>
      <c r="B427" s="2">
        <v>157</v>
      </c>
      <c r="C427" s="2">
        <v>114</v>
      </c>
      <c r="D427" s="4">
        <f t="shared" si="21"/>
        <v>47.420015558866545</v>
      </c>
      <c r="E427" s="4">
        <f t="shared" si="22"/>
        <v>85.995806238196181</v>
      </c>
      <c r="F427" s="4" t="str">
        <f t="shared" si="23"/>
        <v>m1</v>
      </c>
    </row>
    <row r="428" spans="1:6" x14ac:dyDescent="0.25">
      <c r="A428" s="2" t="s">
        <v>436</v>
      </c>
      <c r="B428" s="2">
        <v>216</v>
      </c>
      <c r="C428" s="2">
        <v>110</v>
      </c>
      <c r="D428" s="4">
        <f t="shared" si="21"/>
        <v>34.469017394697985</v>
      </c>
      <c r="E428" s="4">
        <f t="shared" si="22"/>
        <v>135.0043858634541</v>
      </c>
      <c r="F428" s="4" t="str">
        <f t="shared" si="23"/>
        <v>m1</v>
      </c>
    </row>
    <row r="429" spans="1:6" x14ac:dyDescent="0.25">
      <c r="A429" s="2" t="s">
        <v>437</v>
      </c>
      <c r="B429" s="2">
        <v>217</v>
      </c>
      <c r="C429" s="2">
        <v>99</v>
      </c>
      <c r="D429" s="4">
        <f t="shared" si="21"/>
        <v>27.910996565183467</v>
      </c>
      <c r="E429" s="4">
        <f t="shared" si="22"/>
        <v>132.17577754971725</v>
      </c>
      <c r="F429" s="4" t="str">
        <f t="shared" si="23"/>
        <v>m1</v>
      </c>
    </row>
    <row r="430" spans="1:6" x14ac:dyDescent="0.25">
      <c r="A430" s="2" t="s">
        <v>438</v>
      </c>
      <c r="B430" s="2">
        <v>101</v>
      </c>
      <c r="C430" s="2">
        <v>99</v>
      </c>
      <c r="D430" s="4">
        <f t="shared" si="21"/>
        <v>93.813338222497293</v>
      </c>
      <c r="E430" s="4">
        <f t="shared" si="22"/>
        <v>41.450985541581574</v>
      </c>
      <c r="F430" s="4" t="str">
        <f t="shared" si="23"/>
        <v>m2</v>
      </c>
    </row>
    <row r="431" spans="1:6" x14ac:dyDescent="0.25">
      <c r="A431" s="2" t="s">
        <v>439</v>
      </c>
      <c r="B431" s="2">
        <v>221</v>
      </c>
      <c r="C431" s="2">
        <v>103</v>
      </c>
      <c r="D431" s="4">
        <f t="shared" si="21"/>
        <v>33.463961770713354</v>
      </c>
      <c r="E431" s="4">
        <f t="shared" si="22"/>
        <v>137.22839728447622</v>
      </c>
      <c r="F431" s="4" t="str">
        <f t="shared" si="23"/>
        <v>m1</v>
      </c>
    </row>
    <row r="432" spans="1:6" x14ac:dyDescent="0.25">
      <c r="A432" s="2" t="s">
        <v>440</v>
      </c>
      <c r="B432" s="2">
        <v>168</v>
      </c>
      <c r="C432" s="2">
        <v>90</v>
      </c>
      <c r="D432" s="4">
        <f t="shared" si="21"/>
        <v>26.312987720090188</v>
      </c>
      <c r="E432" s="4">
        <f t="shared" si="22"/>
        <v>83.005615676678573</v>
      </c>
      <c r="F432" s="4" t="str">
        <f t="shared" si="23"/>
        <v>m1</v>
      </c>
    </row>
    <row r="433" spans="1:6" x14ac:dyDescent="0.25">
      <c r="A433" s="2" t="s">
        <v>441</v>
      </c>
      <c r="B433" s="2">
        <v>216</v>
      </c>
      <c r="C433" s="2">
        <v>74</v>
      </c>
      <c r="D433" s="4">
        <f t="shared" si="21"/>
        <v>24.479279224999758</v>
      </c>
      <c r="E433" s="4">
        <f t="shared" si="22"/>
        <v>125.82544444620467</v>
      </c>
      <c r="F433" s="4" t="str">
        <f t="shared" si="23"/>
        <v>m1</v>
      </c>
    </row>
    <row r="434" spans="1:6" x14ac:dyDescent="0.25">
      <c r="A434" s="2" t="s">
        <v>442</v>
      </c>
      <c r="B434" s="2">
        <v>89</v>
      </c>
      <c r="C434" s="2">
        <v>105</v>
      </c>
      <c r="D434" s="4">
        <f t="shared" si="21"/>
        <v>106.70024568129482</v>
      </c>
      <c r="E434" s="4">
        <f t="shared" si="22"/>
        <v>46.299724808351023</v>
      </c>
      <c r="F434" s="4" t="str">
        <f t="shared" si="23"/>
        <v>m2</v>
      </c>
    </row>
    <row r="435" spans="1:6" x14ac:dyDescent="0.25">
      <c r="A435" s="2" t="s">
        <v>443</v>
      </c>
      <c r="B435" s="2">
        <v>235</v>
      </c>
      <c r="C435" s="2">
        <v>97</v>
      </c>
      <c r="D435" s="4">
        <f t="shared" si="21"/>
        <v>43.468699017825848</v>
      </c>
      <c r="E435" s="4">
        <f t="shared" si="22"/>
        <v>148.89507465825224</v>
      </c>
      <c r="F435" s="4" t="str">
        <f t="shared" si="23"/>
        <v>m1</v>
      </c>
    </row>
    <row r="436" spans="1:6" x14ac:dyDescent="0.25">
      <c r="A436" s="2" t="s">
        <v>444</v>
      </c>
      <c r="B436" s="2">
        <v>241</v>
      </c>
      <c r="C436" s="2">
        <v>115</v>
      </c>
      <c r="D436" s="4">
        <f t="shared" si="21"/>
        <v>56.754206799357924</v>
      </c>
      <c r="E436" s="4">
        <f t="shared" si="22"/>
        <v>160.10492115226052</v>
      </c>
      <c r="F436" s="4" t="str">
        <f t="shared" si="23"/>
        <v>m1</v>
      </c>
    </row>
    <row r="437" spans="1:6" x14ac:dyDescent="0.25">
      <c r="A437" s="2" t="s">
        <v>445</v>
      </c>
      <c r="B437" s="2">
        <v>242</v>
      </c>
      <c r="C437" s="2">
        <v>117</v>
      </c>
      <c r="D437" s="4">
        <f t="shared" si="21"/>
        <v>58.699241605271538</v>
      </c>
      <c r="E437" s="4">
        <f t="shared" si="22"/>
        <v>161.75100904407938</v>
      </c>
      <c r="F437" s="4" t="str">
        <f t="shared" si="23"/>
        <v>m1</v>
      </c>
    </row>
    <row r="438" spans="1:6" x14ac:dyDescent="0.25">
      <c r="A438" s="2" t="s">
        <v>446</v>
      </c>
      <c r="B438" s="2">
        <v>145</v>
      </c>
      <c r="C438" s="2">
        <v>81</v>
      </c>
      <c r="D438" s="4">
        <f t="shared" si="21"/>
        <v>48.659086058936104</v>
      </c>
      <c r="E438" s="4">
        <f t="shared" si="22"/>
        <v>58.310423272438385</v>
      </c>
      <c r="F438" s="4" t="str">
        <f t="shared" si="23"/>
        <v>m1</v>
      </c>
    </row>
    <row r="439" spans="1:6" x14ac:dyDescent="0.25">
      <c r="A439" s="2" t="s">
        <v>447</v>
      </c>
      <c r="B439" s="2">
        <v>121</v>
      </c>
      <c r="C439" s="2">
        <v>117</v>
      </c>
      <c r="D439" s="4">
        <f t="shared" si="21"/>
        <v>79.801579069242777</v>
      </c>
      <c r="E439" s="4">
        <f t="shared" si="22"/>
        <v>65.476412396535295</v>
      </c>
      <c r="F439" s="4" t="str">
        <f t="shared" si="23"/>
        <v>m2</v>
      </c>
    </row>
    <row r="440" spans="1:6" x14ac:dyDescent="0.25">
      <c r="A440" s="2" t="s">
        <v>448</v>
      </c>
      <c r="B440" s="2">
        <v>142</v>
      </c>
      <c r="C440" s="2">
        <v>120</v>
      </c>
      <c r="D440" s="4">
        <f t="shared" si="21"/>
        <v>63.000962613576711</v>
      </c>
      <c r="E440" s="4">
        <f t="shared" si="22"/>
        <v>79.639017941875423</v>
      </c>
      <c r="F440" s="4" t="str">
        <f t="shared" si="23"/>
        <v>m1</v>
      </c>
    </row>
    <row r="441" spans="1:6" x14ac:dyDescent="0.25">
      <c r="A441" s="2" t="s">
        <v>449</v>
      </c>
      <c r="B441" s="2">
        <v>200</v>
      </c>
      <c r="C441" s="2">
        <v>120</v>
      </c>
      <c r="D441" s="4">
        <f t="shared" si="21"/>
        <v>36.744549808696753</v>
      </c>
      <c r="E441" s="4">
        <f t="shared" si="22"/>
        <v>124.94198318819149</v>
      </c>
      <c r="F441" s="4" t="str">
        <f t="shared" si="23"/>
        <v>m1</v>
      </c>
    </row>
    <row r="442" spans="1:6" x14ac:dyDescent="0.25">
      <c r="A442" s="2" t="s">
        <v>450</v>
      </c>
      <c r="B442" s="2">
        <v>158</v>
      </c>
      <c r="C442" s="2">
        <v>74</v>
      </c>
      <c r="D442" s="4">
        <f t="shared" si="21"/>
        <v>36.907918675658202</v>
      </c>
      <c r="E442" s="4">
        <f t="shared" si="22"/>
        <v>68.614258618985104</v>
      </c>
      <c r="F442" s="4" t="str">
        <f t="shared" si="23"/>
        <v>m1</v>
      </c>
    </row>
    <row r="443" spans="1:6" x14ac:dyDescent="0.25">
      <c r="A443" s="2" t="s">
        <v>451</v>
      </c>
      <c r="B443" s="2">
        <v>162</v>
      </c>
      <c r="C443" s="2">
        <v>81</v>
      </c>
      <c r="D443" s="4">
        <f t="shared" si="21"/>
        <v>31.703006794794522</v>
      </c>
      <c r="E443" s="4">
        <f t="shared" si="22"/>
        <v>74.307638552508806</v>
      </c>
      <c r="F443" s="4" t="str">
        <f t="shared" si="23"/>
        <v>m1</v>
      </c>
    </row>
    <row r="444" spans="1:6" x14ac:dyDescent="0.25">
      <c r="A444" s="2" t="s">
        <v>452</v>
      </c>
      <c r="B444" s="2">
        <v>216</v>
      </c>
      <c r="C444" s="2">
        <v>113</v>
      </c>
      <c r="D444" s="4">
        <f t="shared" si="21"/>
        <v>36.799270792879838</v>
      </c>
      <c r="E444" s="4">
        <f t="shared" si="22"/>
        <v>136.1715683004056</v>
      </c>
      <c r="F444" s="4" t="str">
        <f t="shared" si="23"/>
        <v>m1</v>
      </c>
    </row>
    <row r="445" spans="1:6" x14ac:dyDescent="0.25">
      <c r="A445" s="2" t="s">
        <v>453</v>
      </c>
      <c r="B445" s="2">
        <v>127</v>
      </c>
      <c r="C445" s="2">
        <v>73</v>
      </c>
      <c r="D445" s="4">
        <f t="shared" si="21"/>
        <v>67.45091070755042</v>
      </c>
      <c r="E445" s="4">
        <f t="shared" si="22"/>
        <v>38.623296150354783</v>
      </c>
      <c r="F445" s="4" t="str">
        <f t="shared" si="23"/>
        <v>m2</v>
      </c>
    </row>
    <row r="446" spans="1:6" x14ac:dyDescent="0.25">
      <c r="A446" s="2" t="s">
        <v>454</v>
      </c>
      <c r="B446" s="2">
        <v>243</v>
      </c>
      <c r="C446" s="2">
        <v>80</v>
      </c>
      <c r="D446" s="4">
        <f t="shared" si="21"/>
        <v>49.570260450512087</v>
      </c>
      <c r="E446" s="4">
        <f t="shared" si="22"/>
        <v>153.37711215522694</v>
      </c>
      <c r="F446" s="4" t="str">
        <f t="shared" si="23"/>
        <v>m1</v>
      </c>
    </row>
    <row r="447" spans="1:6" x14ac:dyDescent="0.25">
      <c r="A447" s="2" t="s">
        <v>455</v>
      </c>
      <c r="B447" s="2">
        <v>133</v>
      </c>
      <c r="C447" s="2">
        <v>107</v>
      </c>
      <c r="D447" s="4">
        <f t="shared" si="21"/>
        <v>64.860320132078172</v>
      </c>
      <c r="E447" s="4">
        <f t="shared" si="22"/>
        <v>63.903556374657541</v>
      </c>
      <c r="F447" s="4" t="str">
        <f t="shared" si="23"/>
        <v>m2</v>
      </c>
    </row>
    <row r="448" spans="1:6" x14ac:dyDescent="0.25">
      <c r="A448" s="2" t="s">
        <v>456</v>
      </c>
      <c r="B448" s="2">
        <v>213</v>
      </c>
      <c r="C448" s="2">
        <v>105</v>
      </c>
      <c r="D448" s="4">
        <f t="shared" si="21"/>
        <v>28.736526528165498</v>
      </c>
      <c r="E448" s="4">
        <f t="shared" si="22"/>
        <v>130.37744701656564</v>
      </c>
      <c r="F448" s="4" t="str">
        <f t="shared" si="23"/>
        <v>m1</v>
      </c>
    </row>
    <row r="449" spans="1:6" x14ac:dyDescent="0.25">
      <c r="A449" s="2" t="s">
        <v>457</v>
      </c>
      <c r="B449" s="2">
        <v>163</v>
      </c>
      <c r="C449" s="2">
        <v>86</v>
      </c>
      <c r="D449" s="4">
        <f t="shared" si="21"/>
        <v>30.654767755966628</v>
      </c>
      <c r="E449" s="4">
        <f t="shared" si="22"/>
        <v>76.88914167735399</v>
      </c>
      <c r="F449" s="4" t="str">
        <f t="shared" si="23"/>
        <v>m1</v>
      </c>
    </row>
    <row r="450" spans="1:6" x14ac:dyDescent="0.25">
      <c r="A450" s="2" t="s">
        <v>458</v>
      </c>
      <c r="B450" s="2">
        <v>139</v>
      </c>
      <c r="C450" s="2">
        <v>102</v>
      </c>
      <c r="D450" s="4">
        <f t="shared" si="21"/>
        <v>57.52517431943334</v>
      </c>
      <c r="E450" s="4">
        <f t="shared" si="22"/>
        <v>64.536164170432158</v>
      </c>
      <c r="F450" s="4" t="str">
        <f t="shared" si="23"/>
        <v>m1</v>
      </c>
    </row>
    <row r="451" spans="1:6" x14ac:dyDescent="0.25">
      <c r="A451" s="2" t="s">
        <v>459</v>
      </c>
      <c r="B451" s="2">
        <v>170</v>
      </c>
      <c r="C451" s="2">
        <v>83</v>
      </c>
      <c r="D451" s="4">
        <f t="shared" si="21"/>
        <v>23.591530569836625</v>
      </c>
      <c r="E451" s="4">
        <f t="shared" si="22"/>
        <v>82.540870034125831</v>
      </c>
      <c r="F451" s="4" t="str">
        <f t="shared" si="23"/>
        <v>m1</v>
      </c>
    </row>
    <row r="452" spans="1:6" x14ac:dyDescent="0.25">
      <c r="A452" s="2" t="s">
        <v>460</v>
      </c>
      <c r="B452" s="2">
        <v>170</v>
      </c>
      <c r="C452" s="2">
        <v>101</v>
      </c>
      <c r="D452" s="4">
        <f t="shared" si="21"/>
        <v>29.171892962538095</v>
      </c>
      <c r="E452" s="4">
        <f t="shared" si="22"/>
        <v>89.498972575846835</v>
      </c>
      <c r="F452" s="4" t="str">
        <f t="shared" si="23"/>
        <v>m1</v>
      </c>
    </row>
    <row r="453" spans="1:6" x14ac:dyDescent="0.25">
      <c r="A453" s="2" t="s">
        <v>461</v>
      </c>
      <c r="B453" s="2">
        <v>147</v>
      </c>
      <c r="C453" s="2">
        <v>82</v>
      </c>
      <c r="D453" s="4">
        <f t="shared" si="21"/>
        <v>46.6128248079727</v>
      </c>
      <c r="E453" s="4">
        <f t="shared" si="22"/>
        <v>60.540894859589741</v>
      </c>
      <c r="F453" s="4" t="str">
        <f t="shared" si="23"/>
        <v>m1</v>
      </c>
    </row>
    <row r="454" spans="1:6" x14ac:dyDescent="0.25">
      <c r="A454" s="2" t="s">
        <v>462</v>
      </c>
      <c r="B454" s="2">
        <v>103</v>
      </c>
      <c r="C454" s="2">
        <v>99</v>
      </c>
      <c r="D454" s="4">
        <f t="shared" si="21"/>
        <v>91.840260699538746</v>
      </c>
      <c r="E454" s="4">
        <f t="shared" si="22"/>
        <v>41.973500611093982</v>
      </c>
      <c r="F454" s="4" t="str">
        <f t="shared" si="23"/>
        <v>m2</v>
      </c>
    </row>
    <row r="455" spans="1:6" x14ac:dyDescent="0.25">
      <c r="A455" s="2" t="s">
        <v>463</v>
      </c>
      <c r="B455" s="2">
        <v>102</v>
      </c>
      <c r="C455" s="2">
        <v>120</v>
      </c>
      <c r="D455" s="4">
        <f t="shared" si="21"/>
        <v>98.464715264026978</v>
      </c>
      <c r="E455" s="4">
        <f t="shared" si="22"/>
        <v>62.21384215047572</v>
      </c>
      <c r="F455" s="4" t="str">
        <f t="shared" si="23"/>
        <v>m2</v>
      </c>
    </row>
    <row r="456" spans="1:6" x14ac:dyDescent="0.25">
      <c r="A456" s="2" t="s">
        <v>464</v>
      </c>
      <c r="B456" s="2">
        <v>123</v>
      </c>
      <c r="C456" s="2">
        <v>106</v>
      </c>
      <c r="D456" s="4">
        <f t="shared" si="21"/>
        <v>73.98005217290391</v>
      </c>
      <c r="E456" s="4">
        <f t="shared" si="22"/>
        <v>57.010593966522116</v>
      </c>
      <c r="F456" s="4" t="str">
        <f t="shared" si="23"/>
        <v>m2</v>
      </c>
    </row>
    <row r="457" spans="1:6" x14ac:dyDescent="0.25">
      <c r="A457" s="2" t="s">
        <v>465</v>
      </c>
      <c r="B457" s="2">
        <v>192</v>
      </c>
      <c r="C457" s="2">
        <v>93</v>
      </c>
      <c r="D457" s="4">
        <f t="shared" si="21"/>
        <v>9.3133869465492651</v>
      </c>
      <c r="E457" s="4">
        <f t="shared" si="22"/>
        <v>106.55294767889491</v>
      </c>
      <c r="F457" s="4" t="str">
        <f t="shared" si="23"/>
        <v>m1</v>
      </c>
    </row>
    <row r="458" spans="1:6" x14ac:dyDescent="0.25">
      <c r="A458" s="2" t="s">
        <v>466</v>
      </c>
      <c r="B458" s="2">
        <v>157</v>
      </c>
      <c r="C458" s="2">
        <v>71</v>
      </c>
      <c r="D458" s="4">
        <f t="shared" si="21"/>
        <v>38.759202285160711</v>
      </c>
      <c r="E458" s="4">
        <f t="shared" si="22"/>
        <v>67.026930402777637</v>
      </c>
      <c r="F458" s="4" t="str">
        <f t="shared" si="23"/>
        <v>m1</v>
      </c>
    </row>
    <row r="459" spans="1:6" x14ac:dyDescent="0.25">
      <c r="A459" s="2" t="s">
        <v>467</v>
      </c>
      <c r="B459" s="2">
        <v>140</v>
      </c>
      <c r="C459" s="2">
        <v>72</v>
      </c>
      <c r="D459" s="4">
        <f t="shared" si="21"/>
        <v>54.865831822906003</v>
      </c>
      <c r="E459" s="4">
        <f t="shared" si="22"/>
        <v>50.661559896901139</v>
      </c>
      <c r="F459" s="4" t="str">
        <f t="shared" si="23"/>
        <v>m2</v>
      </c>
    </row>
    <row r="460" spans="1:6" x14ac:dyDescent="0.25">
      <c r="A460" s="2" t="s">
        <v>468</v>
      </c>
      <c r="B460" s="2">
        <v>109</v>
      </c>
      <c r="C460" s="2">
        <v>83</v>
      </c>
      <c r="D460" s="4">
        <f t="shared" si="21"/>
        <v>84.581221786252158</v>
      </c>
      <c r="E460" s="4">
        <f t="shared" si="22"/>
        <v>30.141058623857752</v>
      </c>
      <c r="F460" s="4" t="str">
        <f t="shared" si="23"/>
        <v>m2</v>
      </c>
    </row>
    <row r="461" spans="1:6" x14ac:dyDescent="0.25">
      <c r="A461" s="2" t="s">
        <v>469</v>
      </c>
      <c r="B461" s="2">
        <v>197</v>
      </c>
      <c r="C461" s="2">
        <v>108</v>
      </c>
      <c r="D461" s="4">
        <f t="shared" si="21"/>
        <v>24.419923676193456</v>
      </c>
      <c r="E461" s="4">
        <f t="shared" si="22"/>
        <v>116.79069351678747</v>
      </c>
      <c r="F461" s="4" t="str">
        <f t="shared" si="23"/>
        <v>m1</v>
      </c>
    </row>
    <row r="462" spans="1:6" x14ac:dyDescent="0.25">
      <c r="A462" s="2" t="s">
        <v>470</v>
      </c>
      <c r="B462" s="2">
        <v>244</v>
      </c>
      <c r="C462" s="2">
        <v>78</v>
      </c>
      <c r="D462" s="4">
        <f t="shared" si="21"/>
        <v>50.757667425054272</v>
      </c>
      <c r="E462" s="4">
        <f t="shared" si="22"/>
        <v>154.10491859331378</v>
      </c>
      <c r="F462" s="4" t="str">
        <f t="shared" si="23"/>
        <v>m1</v>
      </c>
    </row>
    <row r="463" spans="1:6" x14ac:dyDescent="0.25">
      <c r="A463" s="2" t="s">
        <v>471</v>
      </c>
      <c r="B463" s="2">
        <v>208</v>
      </c>
      <c r="C463" s="2">
        <v>120</v>
      </c>
      <c r="D463" s="4">
        <f t="shared" si="21"/>
        <v>38.947736369217573</v>
      </c>
      <c r="E463" s="4">
        <f t="shared" si="22"/>
        <v>131.97295695604737</v>
      </c>
      <c r="F463" s="4" t="str">
        <f t="shared" si="23"/>
        <v>m1</v>
      </c>
    </row>
    <row r="464" spans="1:6" x14ac:dyDescent="0.25">
      <c r="A464" s="2" t="s">
        <v>472</v>
      </c>
      <c r="B464" s="2">
        <v>233</v>
      </c>
      <c r="C464" s="2">
        <v>87</v>
      </c>
      <c r="D464" s="4">
        <f t="shared" si="21"/>
        <v>39.55072062073468</v>
      </c>
      <c r="E464" s="4">
        <f t="shared" si="22"/>
        <v>144.68280248953803</v>
      </c>
      <c r="F464" s="4" t="str">
        <f t="shared" si="23"/>
        <v>m1</v>
      </c>
    </row>
    <row r="465" spans="1:6" x14ac:dyDescent="0.25">
      <c r="A465" s="2" t="s">
        <v>473</v>
      </c>
      <c r="B465" s="2">
        <v>206</v>
      </c>
      <c r="C465" s="2">
        <v>106</v>
      </c>
      <c r="D465" s="4">
        <f t="shared" si="21"/>
        <v>25.420994891903881</v>
      </c>
      <c r="E465" s="4">
        <f t="shared" si="22"/>
        <v>124.23451894876639</v>
      </c>
      <c r="F465" s="4" t="str">
        <f t="shared" si="23"/>
        <v>m1</v>
      </c>
    </row>
    <row r="466" spans="1:6" x14ac:dyDescent="0.25">
      <c r="A466" s="2" t="s">
        <v>474</v>
      </c>
      <c r="B466" s="2">
        <v>187</v>
      </c>
      <c r="C466" s="2">
        <v>117</v>
      </c>
      <c r="D466" s="4">
        <f t="shared" si="21"/>
        <v>33.824501474425155</v>
      </c>
      <c r="E466" s="4">
        <f t="shared" si="22"/>
        <v>112.20360408336953</v>
      </c>
      <c r="F466" s="4" t="str">
        <f t="shared" si="23"/>
        <v>m1</v>
      </c>
    </row>
    <row r="467" spans="1:6" x14ac:dyDescent="0.25">
      <c r="A467" s="2" t="s">
        <v>475</v>
      </c>
      <c r="B467" s="2">
        <v>173</v>
      </c>
      <c r="C467" s="2">
        <v>73</v>
      </c>
      <c r="D467" s="4">
        <f t="shared" si="21"/>
        <v>23.249078782201931</v>
      </c>
      <c r="E467" s="4">
        <f t="shared" si="22"/>
        <v>83.128464936406502</v>
      </c>
      <c r="F467" s="4" t="str">
        <f t="shared" si="23"/>
        <v>m1</v>
      </c>
    </row>
    <row r="468" spans="1:6" x14ac:dyDescent="0.25">
      <c r="A468" s="2" t="s">
        <v>476</v>
      </c>
      <c r="B468" s="2">
        <v>237</v>
      </c>
      <c r="C468" s="2">
        <v>120</v>
      </c>
      <c r="D468" s="4">
        <f t="shared" si="21"/>
        <v>56.519434652952128</v>
      </c>
      <c r="E468" s="4">
        <f t="shared" si="22"/>
        <v>158.23376491712733</v>
      </c>
      <c r="F468" s="4" t="str">
        <f t="shared" si="23"/>
        <v>m1</v>
      </c>
    </row>
    <row r="469" spans="1:6" x14ac:dyDescent="0.25">
      <c r="A469" s="2" t="s">
        <v>477</v>
      </c>
      <c r="B469" s="2">
        <v>203</v>
      </c>
      <c r="C469" s="2">
        <v>103</v>
      </c>
      <c r="D469" s="4">
        <f t="shared" si="21"/>
        <v>21.368603725949018</v>
      </c>
      <c r="E469" s="4">
        <f t="shared" si="22"/>
        <v>120.33003806463338</v>
      </c>
      <c r="F469" s="4" t="str">
        <f t="shared" si="23"/>
        <v>m1</v>
      </c>
    </row>
    <row r="470" spans="1:6" x14ac:dyDescent="0.25">
      <c r="A470" s="2" t="s">
        <v>478</v>
      </c>
      <c r="B470" s="2">
        <v>90</v>
      </c>
      <c r="C470" s="2">
        <v>118</v>
      </c>
      <c r="D470" s="4">
        <f t="shared" si="21"/>
        <v>109.07079519013337</v>
      </c>
      <c r="E470" s="4">
        <f t="shared" si="22"/>
        <v>59.262222148869412</v>
      </c>
      <c r="F470" s="4" t="str">
        <f t="shared" si="23"/>
        <v>m2</v>
      </c>
    </row>
    <row r="471" spans="1:6" x14ac:dyDescent="0.25">
      <c r="A471" s="2" t="s">
        <v>479</v>
      </c>
      <c r="B471" s="2">
        <v>126</v>
      </c>
      <c r="C471" s="2">
        <v>87</v>
      </c>
      <c r="D471" s="4">
        <f t="shared" si="21"/>
        <v>67.651961959014585</v>
      </c>
      <c r="E471" s="4">
        <f t="shared" si="22"/>
        <v>44.900098530378479</v>
      </c>
      <c r="F471" s="4" t="str">
        <f t="shared" si="23"/>
        <v>m2</v>
      </c>
    </row>
    <row r="472" spans="1:6" x14ac:dyDescent="0.25">
      <c r="A472" s="2" t="s">
        <v>480</v>
      </c>
      <c r="B472" s="2">
        <v>122</v>
      </c>
      <c r="C472" s="2">
        <v>115</v>
      </c>
      <c r="D472" s="4">
        <f t="shared" si="21"/>
        <v>78.073184277608533</v>
      </c>
      <c r="E472" s="4">
        <f t="shared" si="22"/>
        <v>64.179030702371648</v>
      </c>
      <c r="F472" s="4" t="str">
        <f t="shared" si="23"/>
        <v>m2</v>
      </c>
    </row>
    <row r="473" spans="1:6" x14ac:dyDescent="0.25">
      <c r="A473" s="2" t="s">
        <v>481</v>
      </c>
      <c r="B473" s="2">
        <v>220</v>
      </c>
      <c r="C473" s="2">
        <v>100</v>
      </c>
      <c r="D473" s="4">
        <f t="shared" si="21"/>
        <v>30.982544088644055</v>
      </c>
      <c r="E473" s="4">
        <f t="shared" si="22"/>
        <v>135.3378215232234</v>
      </c>
      <c r="F473" s="4" t="str">
        <f t="shared" si="23"/>
        <v>m1</v>
      </c>
    </row>
    <row r="474" spans="1:6" x14ac:dyDescent="0.25">
      <c r="A474" s="2" t="s">
        <v>482</v>
      </c>
      <c r="B474" s="2">
        <v>169</v>
      </c>
      <c r="C474" s="2">
        <v>93</v>
      </c>
      <c r="D474" s="4">
        <f t="shared" si="21"/>
        <v>26.235320122777402</v>
      </c>
      <c r="E474" s="4">
        <f t="shared" si="22"/>
        <v>85.095471797732216</v>
      </c>
      <c r="F474" s="4" t="str">
        <f t="shared" si="23"/>
        <v>m1</v>
      </c>
    </row>
    <row r="475" spans="1:6" x14ac:dyDescent="0.25">
      <c r="A475" s="2" t="s">
        <v>483</v>
      </c>
      <c r="B475" s="2">
        <v>201</v>
      </c>
      <c r="C475" s="2">
        <v>71</v>
      </c>
      <c r="D475" s="4">
        <f t="shared" si="21"/>
        <v>14.814824123644827</v>
      </c>
      <c r="E475" s="4">
        <f t="shared" si="22"/>
        <v>110.57848581529343</v>
      </c>
      <c r="F475" s="4" t="str">
        <f t="shared" si="23"/>
        <v>m1</v>
      </c>
    </row>
    <row r="476" spans="1:6" x14ac:dyDescent="0.25">
      <c r="A476" s="2" t="s">
        <v>484</v>
      </c>
      <c r="B476" s="2">
        <v>197</v>
      </c>
      <c r="C476" s="2">
        <v>117</v>
      </c>
      <c r="D476" s="4">
        <f t="shared" si="21"/>
        <v>33.354942430563952</v>
      </c>
      <c r="E476" s="4">
        <f t="shared" si="22"/>
        <v>120.86191097778924</v>
      </c>
      <c r="F476" s="4" t="str">
        <f t="shared" si="23"/>
        <v>m1</v>
      </c>
    </row>
    <row r="477" spans="1:6" x14ac:dyDescent="0.25">
      <c r="A477" s="2" t="s">
        <v>485</v>
      </c>
      <c r="B477" s="2">
        <v>95</v>
      </c>
      <c r="C477" s="2">
        <v>100</v>
      </c>
      <c r="D477" s="4">
        <f t="shared" si="21"/>
        <v>99.896080910585269</v>
      </c>
      <c r="E477" s="4">
        <f t="shared" si="22"/>
        <v>41.435690966037619</v>
      </c>
      <c r="F477" s="4" t="str">
        <f t="shared" si="23"/>
        <v>m2</v>
      </c>
    </row>
    <row r="478" spans="1:6" x14ac:dyDescent="0.25">
      <c r="A478" s="2" t="s">
        <v>486</v>
      </c>
      <c r="B478" s="2">
        <v>97</v>
      </c>
      <c r="C478" s="2">
        <v>86</v>
      </c>
      <c r="D478" s="4">
        <f t="shared" si="21"/>
        <v>96.601811101673803</v>
      </c>
      <c r="E478" s="4">
        <f t="shared" si="22"/>
        <v>27.88282480136899</v>
      </c>
      <c r="F478" s="4" t="str">
        <f t="shared" si="23"/>
        <v>m2</v>
      </c>
    </row>
    <row r="479" spans="1:6" x14ac:dyDescent="0.25">
      <c r="A479" s="2" t="s">
        <v>487</v>
      </c>
      <c r="B479" s="2">
        <v>94</v>
      </c>
      <c r="C479" s="2">
        <v>99</v>
      </c>
      <c r="D479" s="4">
        <f t="shared" si="21"/>
        <v>100.72747256464683</v>
      </c>
      <c r="E479" s="4">
        <f t="shared" si="22"/>
        <v>40.356130553294456</v>
      </c>
      <c r="F479" s="4" t="str">
        <f t="shared" si="23"/>
        <v>m2</v>
      </c>
    </row>
    <row r="480" spans="1:6" x14ac:dyDescent="0.25">
      <c r="A480" s="2" t="s">
        <v>488</v>
      </c>
      <c r="B480" s="2">
        <v>219</v>
      </c>
      <c r="C480" s="2">
        <v>72</v>
      </c>
      <c r="D480" s="4">
        <f t="shared" ref="D480:D501" si="24">SQRT(((B480-$H$1)^2+(C480-$I$1)^2))</f>
        <v>28.036694697964791</v>
      </c>
      <c r="E480" s="4">
        <f t="shared" ref="E480:E501" si="25">SQRT(((B480-$K$1)^2+(C480-$L$1)^2))</f>
        <v>128.5823487996733</v>
      </c>
      <c r="F480" s="4" t="str">
        <f t="shared" ref="F480:F501" si="26">IF(MIN(D480:E480)=D480,$D$1,$E$1)</f>
        <v>m1</v>
      </c>
    </row>
    <row r="481" spans="1:6" x14ac:dyDescent="0.25">
      <c r="A481" s="2" t="s">
        <v>489</v>
      </c>
      <c r="B481" s="2">
        <v>187</v>
      </c>
      <c r="C481" s="2">
        <v>100</v>
      </c>
      <c r="D481" s="4">
        <f t="shared" si="24"/>
        <v>17.464695794097921</v>
      </c>
      <c r="E481" s="4">
        <f t="shared" si="25"/>
        <v>104.39387836537007</v>
      </c>
      <c r="F481" s="4" t="str">
        <f t="shared" si="26"/>
        <v>m1</v>
      </c>
    </row>
    <row r="482" spans="1:6" x14ac:dyDescent="0.25">
      <c r="A482" s="2" t="s">
        <v>490</v>
      </c>
      <c r="B482" s="2">
        <v>105</v>
      </c>
      <c r="C482" s="2">
        <v>83</v>
      </c>
      <c r="D482" s="4">
        <f t="shared" si="24"/>
        <v>88.581041792440203</v>
      </c>
      <c r="E482" s="4">
        <f t="shared" si="25"/>
        <v>27.951785499402806</v>
      </c>
      <c r="F482" s="4" t="str">
        <f t="shared" si="26"/>
        <v>m2</v>
      </c>
    </row>
    <row r="483" spans="1:6" x14ac:dyDescent="0.25">
      <c r="A483" s="2" t="s">
        <v>491</v>
      </c>
      <c r="B483" s="2">
        <v>202</v>
      </c>
      <c r="C483" s="2">
        <v>90</v>
      </c>
      <c r="D483" s="4">
        <f t="shared" si="24"/>
        <v>10.446113642752158</v>
      </c>
      <c r="E483" s="4">
        <f t="shared" si="25"/>
        <v>115.21706298957288</v>
      </c>
      <c r="F483" s="4" t="str">
        <f t="shared" si="26"/>
        <v>m1</v>
      </c>
    </row>
    <row r="484" spans="1:6" x14ac:dyDescent="0.25">
      <c r="A484" s="2" t="s">
        <v>492</v>
      </c>
      <c r="B484" s="2">
        <v>148</v>
      </c>
      <c r="C484" s="2">
        <v>94</v>
      </c>
      <c r="D484" s="4">
        <f t="shared" si="24"/>
        <v>46.700039057380543</v>
      </c>
      <c r="E484" s="4">
        <f t="shared" si="25"/>
        <v>66.933119381102657</v>
      </c>
      <c r="F484" s="4" t="str">
        <f t="shared" si="26"/>
        <v>m1</v>
      </c>
    </row>
    <row r="485" spans="1:6" x14ac:dyDescent="0.25">
      <c r="A485" s="2" t="s">
        <v>493</v>
      </c>
      <c r="B485" s="2">
        <v>220</v>
      </c>
      <c r="C485" s="2">
        <v>119</v>
      </c>
      <c r="D485" s="4">
        <f t="shared" si="24"/>
        <v>43.996758814397367</v>
      </c>
      <c r="E485" s="4">
        <f t="shared" si="25"/>
        <v>142.28457659845452</v>
      </c>
      <c r="F485" s="4" t="str">
        <f t="shared" si="26"/>
        <v>m1</v>
      </c>
    </row>
    <row r="486" spans="1:6" x14ac:dyDescent="0.25">
      <c r="A486" s="2" t="s">
        <v>494</v>
      </c>
      <c r="B486" s="2">
        <v>95</v>
      </c>
      <c r="C486" s="2">
        <v>90</v>
      </c>
      <c r="D486" s="4">
        <f t="shared" si="24"/>
        <v>98.770692745985357</v>
      </c>
      <c r="E486" s="4">
        <f t="shared" si="25"/>
        <v>31.494080646277506</v>
      </c>
      <c r="F486" s="4" t="str">
        <f t="shared" si="26"/>
        <v>m2</v>
      </c>
    </row>
    <row r="487" spans="1:6" x14ac:dyDescent="0.25">
      <c r="A487" s="2" t="s">
        <v>495</v>
      </c>
      <c r="B487" s="2">
        <v>102</v>
      </c>
      <c r="C487" s="2">
        <v>102</v>
      </c>
      <c r="D487" s="4">
        <f t="shared" si="24"/>
        <v>93.364131911755408</v>
      </c>
      <c r="E487" s="4">
        <f t="shared" si="25"/>
        <v>44.603713847420572</v>
      </c>
      <c r="F487" s="4" t="str">
        <f t="shared" si="26"/>
        <v>m2</v>
      </c>
    </row>
    <row r="488" spans="1:6" x14ac:dyDescent="0.25">
      <c r="A488" s="2" t="s">
        <v>496</v>
      </c>
      <c r="B488" s="2">
        <v>201</v>
      </c>
      <c r="C488" s="2">
        <v>112</v>
      </c>
      <c r="D488" s="4">
        <f t="shared" si="24"/>
        <v>29.14010433202316</v>
      </c>
      <c r="E488" s="4">
        <f t="shared" si="25"/>
        <v>122.11987120254379</v>
      </c>
      <c r="F488" s="4" t="str">
        <f t="shared" si="26"/>
        <v>m1</v>
      </c>
    </row>
    <row r="489" spans="1:6" x14ac:dyDescent="0.25">
      <c r="A489" s="2" t="s">
        <v>497</v>
      </c>
      <c r="B489" s="2">
        <v>228</v>
      </c>
      <c r="C489" s="2">
        <v>72</v>
      </c>
      <c r="D489" s="4">
        <f t="shared" si="24"/>
        <v>36.395961392501341</v>
      </c>
      <c r="E489" s="4">
        <f t="shared" si="25"/>
        <v>137.53755088395243</v>
      </c>
      <c r="F489" s="4" t="str">
        <f t="shared" si="26"/>
        <v>m1</v>
      </c>
    </row>
    <row r="490" spans="1:6" x14ac:dyDescent="0.25">
      <c r="A490" s="2" t="s">
        <v>498</v>
      </c>
      <c r="B490" s="2">
        <v>229</v>
      </c>
      <c r="C490" s="2">
        <v>78</v>
      </c>
      <c r="D490" s="4">
        <f t="shared" si="24"/>
        <v>35.89788121328538</v>
      </c>
      <c r="E490" s="4">
        <f t="shared" si="25"/>
        <v>139.23504156926015</v>
      </c>
      <c r="F490" s="4" t="str">
        <f t="shared" si="26"/>
        <v>m1</v>
      </c>
    </row>
    <row r="491" spans="1:6" x14ac:dyDescent="0.25">
      <c r="A491" s="2" t="s">
        <v>499</v>
      </c>
      <c r="B491" s="2">
        <v>108</v>
      </c>
      <c r="C491" s="2">
        <v>89</v>
      </c>
      <c r="D491" s="4">
        <f t="shared" si="24"/>
        <v>85.733796672393481</v>
      </c>
      <c r="E491" s="4">
        <f t="shared" si="25"/>
        <v>34.651288019690156</v>
      </c>
      <c r="F491" s="4" t="str">
        <f t="shared" si="26"/>
        <v>m2</v>
      </c>
    </row>
    <row r="492" spans="1:6" x14ac:dyDescent="0.25">
      <c r="A492" s="2" t="s">
        <v>500</v>
      </c>
      <c r="B492" s="2">
        <v>146</v>
      </c>
      <c r="C492" s="2">
        <v>94</v>
      </c>
      <c r="D492" s="4">
        <f t="shared" si="24"/>
        <v>48.653906226019501</v>
      </c>
      <c r="E492" s="4">
        <f t="shared" si="25"/>
        <v>65.241489244987633</v>
      </c>
      <c r="F492" s="4" t="str">
        <f t="shared" si="26"/>
        <v>m1</v>
      </c>
    </row>
    <row r="493" spans="1:6" x14ac:dyDescent="0.25">
      <c r="A493" s="2" t="s">
        <v>501</v>
      </c>
      <c r="B493" s="2">
        <v>195</v>
      </c>
      <c r="C493" s="2">
        <v>84</v>
      </c>
      <c r="D493" s="4">
        <f t="shared" si="24"/>
        <v>1.4339628959237922</v>
      </c>
      <c r="E493" s="4">
        <f t="shared" si="25"/>
        <v>106.9223131659716</v>
      </c>
      <c r="F493" s="4" t="str">
        <f t="shared" si="26"/>
        <v>m1</v>
      </c>
    </row>
    <row r="494" spans="1:6" x14ac:dyDescent="0.25">
      <c r="A494" s="2" t="s">
        <v>502</v>
      </c>
      <c r="B494" s="2">
        <v>227</v>
      </c>
      <c r="C494" s="2">
        <v>108</v>
      </c>
      <c r="D494" s="4">
        <f t="shared" si="24"/>
        <v>41.251648767166273</v>
      </c>
      <c r="E494" s="4">
        <f t="shared" si="25"/>
        <v>144.54730837981285</v>
      </c>
      <c r="F494" s="4" t="str">
        <f t="shared" si="26"/>
        <v>m1</v>
      </c>
    </row>
    <row r="495" spans="1:6" x14ac:dyDescent="0.25">
      <c r="A495" s="2" t="s">
        <v>503</v>
      </c>
      <c r="B495" s="2">
        <v>230</v>
      </c>
      <c r="C495" s="2">
        <v>76</v>
      </c>
      <c r="D495" s="4">
        <f t="shared" si="24"/>
        <v>37.25302614424713</v>
      </c>
      <c r="E495" s="4">
        <f t="shared" si="25"/>
        <v>139.96493918967136</v>
      </c>
      <c r="F495" s="4" t="str">
        <f t="shared" si="26"/>
        <v>m1</v>
      </c>
    </row>
    <row r="496" spans="1:6" x14ac:dyDescent="0.25">
      <c r="A496" s="2" t="s">
        <v>504</v>
      </c>
      <c r="B496" s="2">
        <v>224</v>
      </c>
      <c r="C496" s="2">
        <v>106</v>
      </c>
      <c r="D496" s="4">
        <f t="shared" si="24"/>
        <v>37.648990603857172</v>
      </c>
      <c r="E496" s="4">
        <f t="shared" si="25"/>
        <v>141.04797289951145</v>
      </c>
      <c r="F496" s="4" t="str">
        <f t="shared" si="26"/>
        <v>m1</v>
      </c>
    </row>
    <row r="497" spans="1:6" x14ac:dyDescent="0.25">
      <c r="A497" s="2" t="s">
        <v>505</v>
      </c>
      <c r="B497" s="2">
        <v>114</v>
      </c>
      <c r="C497" s="2">
        <v>76</v>
      </c>
      <c r="D497" s="4">
        <f t="shared" si="24"/>
        <v>79.960656926334394</v>
      </c>
      <c r="E497" s="4">
        <f t="shared" si="25"/>
        <v>28.669360541603773</v>
      </c>
      <c r="F497" s="4" t="str">
        <f t="shared" si="26"/>
        <v>m2</v>
      </c>
    </row>
    <row r="498" spans="1:6" x14ac:dyDescent="0.25">
      <c r="A498" s="2" t="s">
        <v>506</v>
      </c>
      <c r="B498" s="2">
        <v>90</v>
      </c>
      <c r="C498" s="2">
        <v>120</v>
      </c>
      <c r="D498" s="4">
        <f t="shared" si="24"/>
        <v>109.71396360793139</v>
      </c>
      <c r="E498" s="4">
        <f t="shared" si="25"/>
        <v>61.261887401856107</v>
      </c>
      <c r="F498" s="4" t="str">
        <f t="shared" si="26"/>
        <v>m2</v>
      </c>
    </row>
    <row r="499" spans="1:6" x14ac:dyDescent="0.25">
      <c r="A499" s="2" t="s">
        <v>507</v>
      </c>
      <c r="B499" s="2">
        <v>216</v>
      </c>
      <c r="C499" s="2">
        <v>82</v>
      </c>
      <c r="D499" s="4">
        <f t="shared" si="24"/>
        <v>22.496597520367182</v>
      </c>
      <c r="E499" s="4">
        <f t="shared" si="25"/>
        <v>127.04359081098082</v>
      </c>
      <c r="F499" s="4" t="str">
        <f t="shared" si="26"/>
        <v>m1</v>
      </c>
    </row>
    <row r="500" spans="1:6" x14ac:dyDescent="0.25">
      <c r="A500" s="2" t="s">
        <v>508</v>
      </c>
      <c r="B500" s="2">
        <v>214</v>
      </c>
      <c r="C500" s="2">
        <v>103</v>
      </c>
      <c r="D500" s="4">
        <f t="shared" si="24"/>
        <v>28.016388743104855</v>
      </c>
      <c r="E500" s="4">
        <f t="shared" si="25"/>
        <v>130.62184385519976</v>
      </c>
      <c r="F500" s="4" t="str">
        <f t="shared" si="26"/>
        <v>m1</v>
      </c>
    </row>
    <row r="501" spans="1:6" x14ac:dyDescent="0.25">
      <c r="A501" s="2" t="s">
        <v>509</v>
      </c>
      <c r="B501" s="2">
        <v>142</v>
      </c>
      <c r="C501" s="2">
        <v>120</v>
      </c>
      <c r="D501" s="4">
        <f t="shared" si="24"/>
        <v>63.000962613576711</v>
      </c>
      <c r="E501" s="4">
        <f t="shared" si="25"/>
        <v>79.639017941875423</v>
      </c>
      <c r="F501" s="4" t="str">
        <f t="shared" si="26"/>
        <v>m1</v>
      </c>
    </row>
  </sheetData>
  <conditionalFormatting sqref="F1:F1048576">
    <cfRule type="cellIs" dxfId="0" priority="2" operator="equal">
      <formula>"m1"</formula>
    </cfRule>
    <cfRule type="cellIs" dxfId="1" priority="1" operator="equal">
      <formula>"m2"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r:id="rId4">
            <anchor moveWithCells="1">
              <from>
                <xdr:col>16</xdr:col>
                <xdr:colOff>333375</xdr:colOff>
                <xdr:row>0</xdr:row>
                <xdr:rowOff>152400</xdr:rowOff>
              </from>
              <to>
                <xdr:col>18</xdr:col>
                <xdr:colOff>295275</xdr:colOff>
                <xdr:row>2</xdr:row>
                <xdr:rowOff>152400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Santosh Vutukuri</cp:lastModifiedBy>
  <dcterms:created xsi:type="dcterms:W3CDTF">2015-06-05T18:17:20Z</dcterms:created>
  <dcterms:modified xsi:type="dcterms:W3CDTF">2018-11-17T13:07:56Z</dcterms:modified>
</cp:coreProperties>
</file>